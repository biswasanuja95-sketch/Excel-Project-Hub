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489bb43a086884/Desktop/"/>
    </mc:Choice>
  </mc:AlternateContent>
  <xr:revisionPtr revIDLastSave="13" documentId="8_{71DB4266-B9EF-4BD3-BC73-37C589297ACF}" xr6:coauthVersionLast="47" xr6:coauthVersionMax="47" xr10:uidLastSave="{E4A6491F-C9CA-4711-BB72-D9FAEB078217}"/>
  <bookViews>
    <workbookView xWindow="-108" yWindow="-108" windowWidth="23256" windowHeight="12456" xr2:uid="{00000000-000D-0000-FFFF-FFFF00000000}"/>
  </bookViews>
  <sheets>
    <sheet name="pivot Table" sheetId="2" r:id="rId1"/>
    <sheet name="dashboard" sheetId="3" r:id="rId2"/>
    <sheet name="Sheet1" sheetId="1" r:id="rId3"/>
  </sheets>
  <calcPr calcId="191029"/>
  <pivotCaches>
    <pivotCache cacheId="1" r:id="rId4"/>
  </pivotCaches>
</workbook>
</file>

<file path=xl/calcChain.xml><?xml version="1.0" encoding="utf-8"?>
<calcChain xmlns="http://schemas.openxmlformats.org/spreadsheetml/2006/main">
  <c r="O13" i="1" l="1"/>
  <c r="O11" i="1"/>
  <c r="O8" i="1"/>
  <c r="O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</calcChain>
</file>

<file path=xl/sharedStrings.xml><?xml version="1.0" encoding="utf-8"?>
<sst xmlns="http://schemas.openxmlformats.org/spreadsheetml/2006/main" count="9066" uniqueCount="3333">
  <si>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</si>
  <si>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</si>
  <si>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</si>
  <si>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</si>
  <si>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</si>
  <si>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</si>
  <si>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</si>
  <si>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</si>
  <si>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</si>
  <si>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</si>
  <si>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</si>
  <si>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</si>
  <si>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</si>
  <si>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</si>
  <si>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</si>
  <si>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</si>
  <si>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</si>
  <si>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</si>
  <si>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</si>
  <si>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</si>
  <si>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</si>
  <si>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</si>
  <si>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</si>
  <si>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</si>
  <si>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</si>
  <si>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</si>
  <si>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</si>
  <si>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</si>
  <si>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</si>
  <si>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</si>
  <si>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</si>
  <si>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</si>
  <si>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</si>
  <si>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</si>
  <si>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</si>
  <si>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</si>
  <si>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</si>
  <si>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</si>
  <si>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</si>
  <si>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</si>
  <si>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</si>
  <si>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</si>
  <si>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</si>
  <si>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</si>
  <si>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</si>
  <si>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</si>
  <si>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</si>
  <si>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</si>
  <si>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</si>
  <si>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</si>
  <si>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</si>
  <si>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</si>
  <si>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</si>
  <si>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</si>
  <si>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</si>
  <si>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</si>
  <si>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</si>
  <si>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</si>
  <si>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</si>
  <si>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</si>
  <si>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</si>
  <si>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</si>
  <si>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</si>
  <si>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</si>
  <si>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</si>
  <si>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</si>
  <si>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</si>
  <si>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</si>
  <si>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</si>
  <si>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</si>
  <si>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</si>
  <si>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</si>
  <si>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</si>
  <si>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</si>
  <si>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</si>
  <si>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</si>
  <si>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</si>
  <si>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</si>
  <si>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</si>
  <si>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</si>
  <si>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</si>
  <si>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</si>
  <si>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</si>
  <si>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</si>
  <si>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</si>
  <si>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</si>
  <si>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</si>
  <si>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</si>
  <si>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</si>
  <si>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</si>
  <si>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</si>
  <si>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</si>
  <si>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</si>
  <si>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</si>
  <si>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</si>
  <si>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</si>
  <si>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</si>
  <si>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</si>
  <si>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</si>
  <si>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</si>
  <si>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</si>
  <si>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</si>
  <si>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</si>
  <si>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</si>
  <si>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</si>
  <si>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</si>
  <si>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</si>
  <si>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</si>
  <si>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</si>
  <si>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</si>
  <si>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</si>
  <si>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</si>
  <si>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</si>
  <si>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</si>
  <si>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</si>
  <si>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</si>
  <si>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</si>
  <si>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</si>
  <si>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</si>
  <si>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</si>
  <si>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</si>
  <si>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</si>
  <si>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</si>
  <si>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</si>
  <si>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</si>
  <si>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</si>
  <si>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</si>
  <si>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</si>
  <si>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</si>
  <si>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</si>
  <si>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</si>
  <si>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</si>
  <si>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</si>
  <si>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</si>
  <si>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</si>
  <si>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</si>
  <si>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</si>
  <si>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</si>
  <si>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</si>
  <si>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</si>
  <si>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</si>
  <si>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</si>
  <si>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</si>
  <si>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</si>
  <si>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</si>
  <si>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</si>
  <si>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</si>
  <si>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</si>
  <si>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</si>
  <si>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</si>
  <si>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</si>
  <si>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</si>
  <si>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</si>
  <si>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</si>
  <si>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</si>
  <si>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</si>
  <si>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</si>
  <si>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</si>
  <si>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</si>
  <si>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</si>
  <si>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</si>
  <si>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</si>
  <si>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</si>
  <si>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</si>
  <si>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</si>
  <si>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</si>
  <si>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</si>
  <si>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</si>
  <si>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</si>
  <si>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</si>
  <si>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</si>
  <si>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</si>
  <si>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</si>
  <si>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</si>
  <si>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</si>
  <si>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</si>
  <si>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</si>
  <si>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</si>
  <si>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</si>
  <si>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</si>
  <si>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</si>
  <si>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</si>
  <si>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</si>
  <si>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</si>
  <si>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</si>
  <si>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</si>
  <si>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</si>
  <si>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</si>
  <si>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</si>
  <si>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</si>
  <si>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</si>
  <si>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</si>
  <si>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</si>
  <si>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</si>
  <si>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</si>
  <si>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</si>
  <si>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</si>
  <si>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</si>
  <si>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</si>
  <si>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</si>
  <si>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</si>
  <si>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</si>
  <si>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</si>
  <si>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</si>
  <si>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</si>
  <si>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</si>
  <si>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</si>
  <si>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</si>
  <si>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</si>
  <si>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</si>
  <si>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</si>
  <si>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</si>
  <si>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</si>
  <si>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</si>
  <si>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</si>
  <si>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</si>
  <si>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</si>
  <si>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</si>
  <si>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</si>
  <si>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</si>
  <si>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</si>
  <si>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</si>
  <si>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</si>
  <si>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</si>
  <si>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</si>
  <si>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</si>
  <si>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</si>
  <si>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</si>
  <si>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</si>
  <si>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</si>
  <si>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</si>
  <si>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</si>
  <si>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</si>
  <si>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</si>
  <si>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</si>
  <si>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</si>
  <si>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</si>
  <si>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</si>
  <si>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</si>
  <si>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</si>
  <si>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</si>
  <si>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</si>
  <si>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</si>
  <si>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</si>
  <si>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</si>
  <si>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</si>
  <si>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</si>
  <si>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</si>
  <si>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</si>
  <si>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</si>
  <si>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</si>
  <si>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</si>
  <si>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</si>
  <si>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</si>
  <si>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</si>
  <si>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</si>
  <si>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</si>
  <si>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</si>
  <si>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</si>
  <si>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</si>
  <si>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</si>
  <si>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</si>
  <si>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</si>
  <si>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</si>
  <si>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</si>
  <si>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</si>
  <si>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</si>
  <si>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</si>
  <si>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</si>
  <si>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</si>
  <si>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</si>
  <si>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</si>
  <si>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</si>
  <si>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</si>
  <si>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</si>
  <si>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</si>
  <si>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</si>
  <si>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</si>
  <si>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</si>
  <si>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</si>
  <si>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</si>
  <si>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</si>
  <si>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</si>
  <si>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</si>
  <si>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</si>
  <si>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</si>
  <si>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</si>
  <si>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</si>
  <si>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</si>
  <si>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</si>
  <si>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</si>
  <si>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</si>
  <si>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</si>
  <si>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</si>
  <si>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</si>
  <si>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</si>
  <si>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</si>
  <si>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</si>
  <si>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</si>
  <si>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</si>
  <si>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</si>
  <si>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</si>
  <si>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</si>
  <si>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</si>
  <si>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</si>
  <si>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</si>
  <si>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</si>
  <si>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</si>
  <si>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</si>
  <si>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</si>
  <si>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</si>
  <si>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</si>
  <si>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</si>
  <si>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</si>
  <si>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</si>
  <si>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</si>
  <si>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</si>
  <si>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</si>
  <si>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</si>
  <si>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</si>
  <si>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</si>
  <si>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</si>
  <si>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</si>
  <si>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</si>
  <si>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</si>
  <si>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</si>
  <si>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</si>
  <si>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</si>
  <si>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</si>
  <si>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</si>
  <si>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</si>
  <si>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</si>
  <si>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</si>
  <si>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</si>
  <si>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</si>
  <si>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</si>
  <si>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</si>
  <si>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</si>
  <si>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</si>
  <si>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</si>
  <si>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</si>
  <si>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</si>
  <si>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</si>
  <si>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</si>
  <si>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</si>
  <si>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</si>
  <si>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</si>
  <si>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</si>
  <si>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</si>
  <si>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</si>
  <si>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</si>
  <si>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</si>
  <si>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</si>
  <si>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</si>
  <si>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</si>
  <si>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</si>
  <si>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</si>
  <si>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</si>
  <si>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</si>
  <si>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</si>
  <si>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</si>
  <si>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</si>
  <si>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</si>
  <si>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</si>
  <si>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</si>
  <si>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</si>
  <si>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</si>
  <si>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</si>
  <si>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</si>
  <si>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</si>
  <si>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</si>
  <si>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</si>
  <si>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</si>
  <si>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</si>
  <si>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</si>
  <si>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</si>
  <si>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</si>
  <si>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</si>
  <si>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</si>
  <si>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</si>
  <si>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</si>
  <si>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</si>
  <si>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</si>
  <si>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</si>
  <si>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</si>
  <si>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</si>
  <si>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</si>
  <si>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</si>
  <si>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</si>
  <si>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</si>
  <si>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</si>
  <si>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</si>
  <si>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</si>
  <si>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</si>
  <si>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</si>
  <si>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</si>
  <si>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</si>
  <si>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</si>
  <si>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</si>
  <si>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</si>
  <si>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</si>
  <si>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</si>
  <si>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</si>
  <si>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</si>
  <si>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</si>
  <si>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</si>
  <si>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</si>
  <si>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</si>
  <si>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</si>
  <si>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</si>
  <si>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</si>
  <si>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</si>
  <si>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</si>
  <si>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</si>
  <si>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</si>
  <si>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</si>
  <si>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</si>
  <si>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</si>
  <si>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</si>
  <si>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</si>
  <si>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</si>
  <si>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</si>
  <si>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</si>
  <si>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</si>
  <si>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</si>
  <si>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</si>
  <si>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</si>
  <si>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</si>
  <si>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</si>
  <si>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</si>
  <si>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</si>
  <si>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</si>
  <si>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</si>
  <si>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</si>
  <si>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</si>
  <si>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</si>
  <si>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</si>
  <si>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</si>
  <si>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</si>
  <si>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</si>
  <si>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</si>
  <si>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</si>
  <si>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</si>
  <si>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</si>
  <si>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</si>
  <si>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</si>
  <si>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</si>
  <si>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</si>
  <si>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</si>
  <si>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</si>
  <si>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</si>
  <si>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</si>
  <si>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</si>
  <si>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</si>
  <si>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</si>
  <si>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</si>
  <si>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</si>
  <si>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</si>
  <si>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</si>
  <si>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</si>
  <si>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</si>
  <si>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</si>
  <si>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</si>
  <si>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</si>
  <si>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</si>
  <si>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</si>
  <si>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</si>
  <si>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</si>
  <si>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</si>
  <si>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</si>
  <si>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</si>
  <si>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</si>
  <si>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</si>
  <si>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</si>
  <si>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</si>
  <si>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</si>
  <si>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</si>
  <si>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</si>
  <si>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</si>
  <si>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</si>
  <si>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</si>
  <si>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</si>
  <si>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</si>
  <si>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</si>
  <si>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</si>
  <si>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</si>
  <si>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</si>
  <si>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</si>
  <si>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</si>
  <si>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</si>
  <si>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</si>
  <si>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</si>
  <si>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</si>
  <si>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</si>
  <si>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</si>
  <si>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</si>
  <si>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</si>
  <si>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</si>
  <si>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</si>
  <si>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</si>
  <si>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</si>
  <si>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</si>
  <si>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</si>
  <si>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</si>
  <si>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</si>
  <si>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</si>
  <si>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</si>
  <si>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</si>
  <si>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</si>
  <si>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</si>
  <si>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</si>
  <si>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</si>
  <si>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</si>
  <si>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</si>
  <si>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</si>
  <si>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</si>
  <si>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</si>
  <si>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</si>
  <si>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</si>
  <si>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</si>
  <si>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</si>
  <si>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</si>
  <si>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</si>
  <si>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</si>
  <si>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</si>
  <si>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</si>
  <si>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</si>
  <si>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</si>
  <si>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</si>
  <si>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</si>
  <si>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</si>
  <si>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</si>
  <si>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</si>
  <si>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</si>
  <si>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</si>
  <si>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</si>
  <si>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</si>
  <si>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</si>
  <si>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</si>
  <si>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</si>
  <si>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</si>
  <si>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</si>
  <si>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</si>
  <si>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</si>
  <si>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</si>
  <si>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</si>
  <si>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</si>
  <si>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</si>
  <si>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</si>
  <si>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</si>
  <si>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</si>
  <si>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</si>
  <si>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</si>
  <si>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</si>
  <si>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</si>
  <si>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</si>
  <si>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</si>
  <si>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</si>
  <si>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</si>
  <si>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</si>
  <si>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</si>
  <si>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</si>
  <si>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</si>
  <si>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</si>
  <si>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</si>
  <si>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</si>
  <si>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</si>
  <si>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</si>
  <si>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</si>
  <si>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</si>
  <si>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</si>
  <si>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</si>
  <si>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</si>
  <si>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</si>
  <si>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</si>
  <si>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</si>
  <si>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</si>
  <si>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</si>
  <si>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</si>
  <si>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</si>
  <si>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</si>
  <si>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</si>
  <si>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</si>
  <si>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</si>
  <si>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</si>
  <si>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</si>
  <si>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</si>
  <si>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</si>
  <si>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</si>
  <si>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</si>
  <si>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</si>
  <si>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</si>
  <si>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</si>
  <si>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</si>
  <si>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</si>
  <si>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</si>
  <si>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</si>
  <si>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</si>
  <si>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</si>
  <si>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</si>
  <si>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</si>
  <si>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</si>
  <si>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</si>
  <si>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</si>
  <si>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</si>
  <si>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</si>
  <si>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</si>
  <si>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</si>
  <si>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</si>
  <si>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</si>
  <si>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</si>
  <si>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</si>
  <si>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</si>
  <si>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</si>
  <si>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</si>
  <si>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</si>
  <si>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</si>
  <si>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</si>
  <si>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</si>
  <si>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</si>
  <si>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</si>
  <si>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</si>
  <si>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</si>
  <si>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</si>
  <si>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</si>
  <si>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</si>
  <si>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</si>
  <si>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</si>
  <si>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</si>
  <si>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</si>
  <si>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</si>
  <si>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</si>
  <si>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</si>
  <si>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</si>
  <si>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</si>
  <si>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</si>
  <si>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</si>
  <si>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</si>
  <si>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</si>
  <si>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</si>
  <si>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</si>
  <si>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</si>
  <si>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</si>
  <si>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</si>
  <si>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</si>
  <si>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</si>
  <si>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</si>
  <si>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</si>
  <si>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</si>
  <si>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</si>
  <si>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</si>
  <si>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</si>
  <si>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</si>
  <si>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</si>
  <si>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</si>
  <si>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</si>
  <si>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</si>
  <si>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</si>
  <si>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</si>
  <si>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</si>
  <si>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</si>
  <si>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</si>
  <si>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</si>
  <si>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</si>
  <si>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</si>
  <si>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</si>
  <si>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</si>
  <si>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</si>
  <si>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</si>
  <si>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</si>
  <si>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</si>
  <si>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</si>
  <si>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</si>
  <si>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</si>
  <si>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</si>
  <si>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</si>
  <si>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</si>
  <si>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</si>
  <si>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</si>
  <si>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</si>
  <si>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</si>
  <si>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</si>
  <si>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</si>
  <si>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</si>
  <si>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</si>
  <si>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</si>
  <si>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</si>
  <si>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</si>
  <si>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</si>
  <si>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</si>
  <si>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</si>
  <si>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</si>
  <si>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</si>
  <si>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</si>
  <si>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</si>
  <si>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</si>
  <si>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</si>
  <si>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</si>
  <si>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</si>
  <si>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</si>
  <si>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</si>
  <si>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</si>
  <si>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</si>
  <si>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</si>
  <si>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</si>
  <si>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</si>
  <si>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</si>
  <si>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</si>
  <si>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</si>
  <si>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</si>
  <si>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</si>
  <si>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</si>
  <si>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</si>
  <si>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</si>
  <si>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</si>
  <si>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</si>
  <si>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</si>
  <si>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</si>
  <si>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</si>
  <si>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</si>
  <si>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</si>
  <si>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</si>
  <si>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</si>
  <si>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</si>
  <si>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</si>
  <si>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</si>
  <si>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</si>
  <si>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</si>
  <si>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</si>
  <si>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</si>
  <si>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</si>
  <si>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</si>
  <si>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</si>
  <si>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</si>
  <si>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</si>
  <si>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</si>
  <si>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</si>
  <si>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</si>
  <si>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</si>
  <si>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</si>
  <si>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</si>
  <si>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</si>
  <si>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</si>
  <si>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</si>
  <si>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</si>
  <si>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</si>
  <si>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</si>
  <si>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</si>
  <si>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</si>
  <si>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</si>
  <si>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</si>
  <si>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</si>
  <si>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</si>
  <si>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</si>
  <si>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</si>
  <si>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</si>
  <si>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</si>
  <si>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</si>
  <si>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</si>
  <si>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</si>
  <si>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</si>
  <si>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</si>
  <si>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</si>
  <si>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</si>
  <si>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</si>
  <si>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</si>
  <si>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</si>
  <si>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</si>
  <si>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</si>
  <si>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</si>
  <si>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</si>
  <si>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</si>
  <si>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</si>
  <si>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</si>
  <si>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</si>
  <si>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</si>
  <si>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</si>
  <si>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</si>
  <si>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</si>
  <si>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</si>
  <si>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</si>
  <si>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</si>
  <si>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</si>
  <si>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</si>
  <si>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</si>
  <si>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</si>
  <si>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</si>
  <si>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</si>
  <si>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</si>
  <si>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</si>
  <si>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</si>
  <si>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</si>
  <si>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</si>
  <si>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</si>
  <si>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</si>
  <si>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</si>
  <si>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</si>
  <si>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</si>
  <si>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</si>
  <si>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</si>
  <si>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</si>
  <si>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</si>
  <si>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</si>
  <si>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</si>
  <si>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</si>
  <si>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</si>
  <si>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</si>
  <si>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</si>
  <si>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</si>
  <si>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</si>
  <si>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</si>
  <si>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</si>
  <si>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</si>
  <si>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</si>
  <si>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</si>
  <si>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</si>
  <si>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</si>
  <si>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</si>
  <si>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</si>
  <si>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</si>
  <si>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</si>
  <si>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</si>
  <si>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</si>
  <si>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</si>
  <si>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</si>
  <si>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</si>
  <si>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</si>
  <si>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</si>
  <si>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</si>
  <si>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</si>
  <si>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</si>
  <si>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</si>
  <si>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</si>
  <si>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</si>
  <si>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</si>
  <si>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</si>
  <si>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</si>
  <si>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</si>
  <si>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</si>
  <si>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</si>
  <si>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</si>
  <si>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</si>
  <si>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</si>
  <si>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</si>
  <si>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</si>
  <si>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</si>
  <si>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</si>
  <si>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</si>
  <si>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</si>
  <si>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</si>
  <si>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</si>
  <si>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</si>
  <si>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</si>
  <si>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</si>
  <si>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</si>
  <si>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</si>
  <si>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</si>
  <si>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</si>
  <si>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</si>
  <si>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</si>
  <si>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</si>
  <si>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</si>
  <si>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</si>
  <si>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</si>
  <si>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</si>
  <si>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</si>
  <si>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</si>
  <si>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</si>
  <si>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</si>
  <si>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</si>
  <si>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</si>
  <si>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</si>
  <si>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</si>
  <si>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</si>
  <si>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</si>
  <si>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</si>
  <si>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</si>
  <si>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</si>
  <si>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</si>
  <si>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</si>
  <si>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</si>
  <si>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</si>
  <si>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</si>
  <si>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</si>
  <si>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</si>
  <si>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</si>
  <si>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</si>
  <si>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</si>
  <si>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</si>
  <si>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</si>
  <si>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</si>
  <si>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</si>
  <si>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</si>
  <si>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</si>
  <si>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</si>
  <si>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</si>
  <si>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</si>
  <si>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</si>
  <si>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</si>
  <si>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</si>
  <si>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</si>
  <si>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</si>
  <si>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</si>
  <si>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</si>
  <si>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</si>
  <si>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</si>
  <si>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</si>
  <si>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</si>
  <si>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</si>
  <si>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</si>
  <si>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</si>
  <si>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</si>
  <si>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</si>
  <si>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</si>
  <si>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</si>
  <si>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</si>
  <si>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</si>
  <si>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</si>
  <si>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</si>
  <si>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</si>
  <si>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</si>
  <si>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</si>
  <si>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</si>
  <si>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</si>
  <si>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</si>
  <si>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</si>
  <si>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</si>
  <si>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</si>
  <si>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</si>
  <si>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</si>
  <si>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</si>
  <si>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</si>
  <si>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</si>
  <si>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</si>
  <si>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</si>
  <si>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</si>
  <si>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</si>
  <si>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</si>
  <si>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</si>
  <si>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</si>
  <si>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</si>
  <si>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</si>
  <si>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</si>
  <si>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</si>
  <si>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</si>
  <si>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</si>
  <si>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</si>
  <si>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</si>
  <si>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</si>
  <si>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</si>
  <si>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</si>
  <si>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</si>
  <si>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</si>
  <si>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</si>
  <si>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</si>
  <si>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</si>
  <si>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</si>
  <si>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</si>
  <si>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</si>
  <si>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</si>
  <si>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</si>
  <si>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</si>
  <si>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</si>
  <si>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</si>
  <si>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</si>
  <si>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</si>
  <si>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</si>
  <si>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</si>
  <si>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</si>
  <si>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</si>
  <si>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</si>
  <si>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</si>
  <si>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</si>
  <si>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</si>
  <si>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</si>
  <si>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</si>
  <si>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</si>
  <si>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</si>
  <si>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</si>
  <si>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</si>
  <si>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</si>
  <si>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</si>
  <si>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</si>
  <si>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</si>
  <si>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</si>
  <si>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</si>
  <si>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</si>
  <si>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</si>
  <si>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</si>
  <si>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</si>
  <si>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</si>
  <si>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</si>
  <si>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</si>
  <si>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</si>
  <si>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</si>
  <si>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</si>
  <si>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</si>
  <si>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</si>
  <si>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</si>
  <si>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</si>
  <si>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</si>
  <si>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</si>
  <si>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</si>
  <si>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</si>
  <si>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</si>
  <si>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</si>
  <si>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</si>
  <si>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</si>
  <si>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</si>
  <si>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</si>
  <si>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</si>
  <si>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</si>
  <si>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</si>
  <si>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</si>
  <si>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</si>
  <si>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</si>
  <si>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</si>
  <si>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</si>
  <si>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</si>
  <si>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</si>
  <si>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</si>
  <si>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</si>
  <si>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</si>
  <si>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</si>
  <si>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</si>
  <si>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</si>
  <si>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</si>
  <si>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</si>
  <si>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</si>
  <si>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</si>
  <si>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</si>
  <si>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</si>
  <si>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</si>
  <si>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</si>
  <si>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</si>
  <si>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</si>
  <si>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</si>
  <si>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</si>
  <si>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</si>
  <si>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</si>
  <si>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</si>
  <si>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</si>
  <si>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</si>
  <si>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</si>
  <si>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</si>
  <si>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</si>
  <si>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</si>
  <si>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</si>
  <si>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</si>
  <si>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</si>
  <si>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</si>
  <si>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</si>
  <si>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</si>
  <si>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</si>
  <si>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</si>
  <si>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</si>
  <si>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</si>
  <si>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</si>
  <si>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</si>
  <si>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</si>
  <si>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</si>
  <si>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</si>
  <si>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</si>
  <si>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</si>
  <si>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</si>
  <si>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</si>
  <si>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</si>
  <si>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</si>
  <si>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</si>
  <si>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</si>
  <si>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</si>
  <si>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</si>
  <si>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</si>
  <si>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</si>
  <si>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</si>
  <si>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</si>
  <si>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</si>
  <si>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</si>
  <si>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</si>
  <si>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</si>
  <si>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</si>
  <si>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</si>
  <si>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</si>
  <si>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</si>
  <si>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</si>
  <si>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</si>
  <si>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</si>
  <si>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</si>
  <si>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</si>
  <si>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</si>
  <si>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</si>
  <si>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</si>
  <si>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</si>
  <si>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</si>
  <si>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</si>
  <si>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</si>
  <si>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</si>
  <si>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</si>
  <si>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</si>
  <si>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</si>
  <si>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</si>
  <si>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</si>
  <si>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</si>
  <si>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</si>
  <si>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</si>
  <si>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</si>
  <si>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</si>
  <si>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</si>
  <si>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</si>
  <si>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</si>
  <si>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</si>
  <si>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</si>
  <si>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</si>
  <si>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</si>
  <si>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</si>
  <si>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</si>
  <si>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</si>
  <si>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</si>
  <si>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</si>
  <si>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</si>
  <si>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</si>
  <si>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</si>
  <si>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</si>
  <si>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</si>
  <si>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</si>
  <si>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</si>
  <si>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</si>
  <si>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</si>
  <si>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</si>
  <si>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</si>
  <si>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</si>
  <si>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</si>
  <si>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</si>
  <si>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</si>
  <si>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</si>
  <si>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</si>
  <si>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</si>
  <si>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</si>
  <si>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</si>
  <si>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</si>
  <si>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</si>
  <si>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</si>
  <si>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</si>
  <si>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</si>
  <si>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</si>
  <si>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</si>
  <si>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</si>
  <si>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</si>
  <si>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</si>
  <si>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</si>
  <si>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</si>
  <si>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</si>
  <si>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</si>
  <si>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</si>
  <si>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</si>
  <si>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</si>
  <si>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</si>
  <si>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</si>
  <si>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</si>
  <si>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</si>
  <si>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</si>
  <si>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</si>
  <si>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</si>
  <si>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</si>
  <si>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</si>
  <si>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</si>
  <si>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</si>
  <si>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</si>
  <si>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</si>
  <si>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</si>
  <si>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</si>
  <si>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</si>
  <si>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</si>
  <si>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</si>
  <si>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</si>
  <si>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</si>
  <si>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</si>
  <si>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</si>
  <si>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</si>
  <si>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</si>
  <si>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</si>
  <si>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</si>
  <si>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</si>
  <si>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</si>
  <si>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</si>
  <si>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</si>
  <si>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</si>
  <si>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</si>
  <si>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</si>
  <si>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</si>
  <si>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</si>
  <si>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</si>
  <si>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</si>
  <si>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</si>
  <si>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</si>
  <si>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</si>
  <si>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</si>
  <si>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</si>
  <si>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</si>
  <si>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</si>
  <si>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</si>
  <si>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</si>
  <si>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</si>
  <si>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</si>
  <si>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</si>
  <si>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</si>
  <si>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</si>
  <si>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</si>
  <si>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</si>
  <si>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</si>
  <si>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</si>
  <si>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</si>
  <si>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</si>
  <si>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</si>
  <si>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</si>
  <si>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</si>
  <si>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</si>
  <si>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</si>
  <si>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</si>
  <si>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</si>
  <si>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</si>
  <si>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</si>
  <si>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</si>
  <si>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</si>
  <si>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</si>
  <si>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</si>
  <si>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</si>
  <si>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</si>
  <si>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</si>
  <si>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</si>
  <si>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</si>
  <si>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</si>
  <si>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</si>
  <si>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</si>
  <si>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</si>
  <si>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</si>
  <si>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</si>
  <si>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</si>
  <si>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</si>
  <si>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</si>
  <si>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</si>
  <si>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</si>
  <si>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</si>
  <si>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</si>
  <si>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</si>
  <si>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</si>
  <si>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</si>
  <si>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</si>
  <si>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</si>
  <si>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</si>
  <si>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</si>
  <si>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</si>
  <si>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</si>
  <si>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</si>
  <si>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</si>
  <si>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</si>
  <si>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</si>
  <si>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</si>
  <si>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</si>
  <si>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</si>
  <si>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</si>
  <si>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</si>
  <si>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</si>
  <si>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</si>
  <si>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</si>
  <si>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</si>
  <si>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</si>
  <si>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</si>
  <si>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</si>
  <si>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</si>
  <si>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</si>
  <si>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</si>
  <si>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</si>
  <si>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</si>
  <si>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</si>
  <si>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</si>
  <si>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</si>
  <si>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</si>
  <si>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</si>
  <si>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</si>
  <si>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</si>
  <si>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</si>
  <si>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</si>
  <si>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</si>
  <si>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</si>
  <si>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</si>
  <si>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</si>
  <si>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</si>
  <si>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</si>
  <si>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</si>
  <si>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</si>
  <si>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</si>
  <si>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</si>
  <si>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</si>
  <si>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</si>
  <si>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</si>
  <si>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</si>
  <si>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</si>
  <si>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</si>
  <si>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</si>
  <si>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</si>
  <si>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</si>
  <si>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</si>
  <si>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</si>
  <si>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</si>
  <si>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</si>
  <si>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</si>
  <si>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</si>
  <si>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</si>
  <si>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</si>
  <si>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</si>
  <si>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</si>
  <si>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</si>
  <si>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</si>
  <si>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</si>
  <si>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</si>
  <si>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</si>
  <si>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</si>
  <si>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</si>
  <si>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</si>
  <si>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</si>
  <si>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</si>
  <si>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</si>
  <si>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</si>
  <si>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</si>
  <si>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</si>
  <si>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</si>
  <si>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</si>
  <si>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</si>
  <si>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</si>
  <si>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</si>
  <si>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</si>
  <si>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</si>
  <si>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</si>
  <si>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</si>
  <si>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</si>
  <si>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</si>
  <si>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</si>
  <si>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</si>
  <si>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</si>
  <si>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</si>
  <si>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</si>
  <si>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</si>
  <si>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</si>
  <si>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</si>
  <si>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</si>
  <si>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</si>
  <si>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</si>
  <si>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</si>
  <si>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</si>
  <si>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</si>
  <si>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</si>
  <si>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</si>
  <si>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</si>
  <si>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</si>
  <si>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</si>
  <si>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</si>
  <si>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</si>
  <si>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</si>
  <si>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</si>
  <si>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</si>
  <si>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</si>
  <si>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</si>
  <si>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</si>
  <si>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</si>
  <si>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</si>
  <si>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</si>
  <si>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</si>
  <si>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</si>
  <si>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</si>
  <si>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</si>
  <si>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</si>
  <si>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</si>
  <si>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</si>
  <si>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</si>
  <si>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</si>
  <si>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</si>
  <si>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</si>
  <si>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</si>
  <si>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</si>
  <si>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</si>
  <si>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</si>
  <si>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</si>
  <si>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</si>
  <si>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</si>
  <si>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</si>
  <si>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</si>
  <si>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</si>
  <si>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</si>
  <si>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</si>
  <si>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</si>
  <si>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</si>
  <si>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</si>
  <si>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</si>
  <si>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</si>
  <si>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</si>
  <si>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</si>
  <si>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</si>
  <si>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</si>
  <si>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</si>
  <si>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</si>
  <si>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</si>
  <si>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</si>
  <si>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</si>
  <si>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</si>
  <si>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</si>
  <si>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</si>
  <si>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</si>
  <si>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</si>
  <si>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</si>
  <si>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</si>
  <si>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</si>
  <si>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</si>
  <si>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</si>
  <si>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</si>
  <si>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</si>
  <si>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</si>
  <si>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</si>
  <si>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</si>
  <si>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</si>
  <si>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</si>
  <si>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</si>
  <si>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</si>
  <si>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</si>
  <si>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</si>
  <si>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</si>
  <si>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</si>
  <si>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</si>
  <si>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</si>
  <si>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</si>
  <si>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</si>
  <si>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</si>
  <si>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</si>
  <si>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</si>
  <si>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</si>
  <si>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</si>
  <si>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</si>
  <si>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</si>
  <si>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</si>
  <si>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</si>
  <si>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</si>
  <si>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</si>
  <si>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</si>
  <si>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</si>
  <si>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</si>
  <si>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</si>
  <si>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</si>
  <si>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</si>
  <si>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</si>
  <si>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</si>
  <si>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</si>
  <si>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</si>
  <si>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</si>
  <si>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</si>
  <si>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</si>
  <si>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</si>
  <si>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</si>
  <si>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</si>
  <si>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</si>
  <si>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</si>
  <si>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</si>
  <si>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</si>
  <si>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</si>
  <si>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</si>
  <si>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</si>
  <si>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</si>
  <si>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</si>
  <si>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</si>
  <si>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</si>
  <si>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</si>
  <si>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</si>
  <si>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</si>
  <si>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</si>
  <si>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</si>
  <si>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</si>
  <si>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</si>
  <si>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</si>
  <si>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</si>
  <si>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</si>
  <si>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</si>
  <si>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</si>
  <si>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</si>
  <si>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</si>
  <si>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</si>
  <si>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</si>
  <si>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</si>
  <si>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</si>
  <si>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</si>
  <si>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</si>
  <si>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</si>
  <si>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</si>
  <si>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</si>
  <si>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</si>
  <si>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</si>
  <si>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</si>
  <si>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</si>
  <si>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</si>
  <si>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</si>
  <si>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</si>
  <si>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</si>
  <si>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</si>
  <si>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</si>
  <si>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</si>
  <si>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</si>
  <si>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</si>
  <si>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</si>
  <si>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</si>
  <si>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</si>
  <si>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</si>
  <si>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</si>
  <si>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</si>
  <si>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</si>
  <si>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</si>
  <si>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</si>
  <si>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</si>
  <si>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</si>
  <si>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</si>
  <si>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</si>
  <si>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</si>
  <si>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</si>
  <si>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</si>
  <si>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</si>
  <si>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</si>
  <si>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</si>
  <si>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</si>
  <si>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</si>
  <si>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</si>
  <si>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</si>
  <si>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</si>
  <si>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</si>
  <si>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</si>
  <si>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</si>
  <si>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</si>
  <si>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</si>
  <si>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</si>
  <si>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</si>
  <si>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</si>
  <si>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</si>
  <si>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</si>
  <si>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</si>
  <si>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</si>
  <si>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</si>
  <si>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</si>
  <si>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</si>
  <si>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</si>
  <si>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</si>
  <si>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</si>
  <si>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</si>
  <si>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</si>
  <si>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</si>
  <si>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</si>
  <si>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</si>
  <si>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</si>
  <si>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</si>
  <si>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</si>
  <si>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</si>
  <si>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</si>
  <si>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</si>
  <si>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</si>
  <si>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</si>
  <si>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</si>
  <si>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</si>
  <si>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</si>
  <si>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</si>
  <si>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</si>
  <si>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</si>
  <si>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</si>
  <si>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</si>
  <si>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</si>
  <si>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</si>
  <si>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</si>
  <si>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</si>
  <si>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</si>
  <si>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</si>
  <si>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</si>
  <si>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</si>
  <si>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</si>
  <si>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</si>
  <si>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</si>
  <si>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</si>
  <si>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</si>
  <si>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</si>
  <si>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</si>
  <si>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</si>
  <si>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</si>
  <si>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</si>
  <si>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</si>
  <si>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</si>
  <si>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</si>
  <si>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</si>
  <si>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</si>
  <si>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</si>
  <si>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</si>
  <si>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</si>
  <si>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</si>
  <si>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</si>
  <si>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</si>
  <si>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</si>
  <si>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</si>
  <si>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</si>
  <si>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</si>
  <si>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</si>
  <si>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</si>
  <si>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</si>
  <si>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</si>
  <si>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</si>
  <si>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</si>
  <si>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</si>
  <si>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</si>
  <si>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</si>
  <si>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</si>
  <si>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</si>
  <si>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</si>
  <si>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</si>
  <si>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</si>
  <si>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</si>
  <si>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</si>
  <si>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</si>
  <si>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</si>
  <si>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</si>
  <si>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</si>
  <si>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</si>
  <si>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</si>
  <si>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</si>
  <si>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</si>
  <si>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</si>
  <si>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</si>
  <si>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</si>
  <si>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</si>
  <si>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</si>
  <si>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</si>
  <si>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</si>
  <si>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</si>
  <si>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</si>
  <si>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</si>
  <si>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</si>
  <si>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</si>
  <si>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</si>
  <si>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</si>
  <si>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</si>
  <si>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</si>
  <si>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</si>
  <si>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</si>
  <si>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</si>
  <si>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</si>
  <si>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</si>
  <si>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</si>
  <si>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</si>
  <si>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</si>
  <si>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</si>
  <si>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</si>
  <si>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</si>
  <si>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</si>
  <si>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</si>
  <si>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</si>
  <si>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</si>
  <si>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</si>
  <si>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</si>
  <si>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</si>
  <si>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</si>
  <si>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</si>
  <si>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</si>
  <si>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</si>
  <si>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</si>
  <si>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</si>
  <si>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</si>
  <si>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</si>
  <si>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</si>
  <si>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</si>
  <si>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</si>
  <si>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</si>
  <si>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</si>
  <si>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</si>
  <si>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</si>
  <si>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</si>
  <si>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</si>
  <si>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</si>
  <si>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</si>
  <si>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</si>
  <si>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</si>
  <si>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</si>
  <si>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</si>
  <si>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</si>
  <si>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</si>
  <si>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</si>
  <si>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</si>
  <si>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</si>
  <si>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</si>
  <si>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</si>
  <si>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</si>
  <si>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</si>
  <si>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</si>
  <si>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</si>
  <si>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</si>
  <si>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</si>
  <si>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</si>
  <si>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</si>
  <si>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</si>
  <si>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</si>
  <si>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</si>
  <si>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</si>
  <si>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</si>
  <si>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</si>
  <si>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</si>
  <si>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</si>
  <si>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</si>
  <si>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</si>
  <si>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</si>
  <si>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</si>
  <si>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</si>
  <si>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</si>
  <si>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</si>
  <si>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</si>
  <si>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</si>
  <si>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</si>
  <si>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</si>
  <si>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</si>
  <si>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</si>
  <si>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</si>
  <si>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</si>
  <si>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</si>
  <si>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</si>
  <si>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</si>
  <si>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</si>
  <si>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</si>
  <si>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</si>
  <si>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</si>
  <si>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</si>
  <si>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</si>
  <si>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</si>
  <si>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</si>
  <si>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</si>
  <si>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</si>
  <si>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</si>
  <si>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</si>
  <si>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</si>
  <si>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</si>
  <si>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</si>
  <si>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</si>
  <si>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</si>
  <si>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</si>
  <si>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</si>
  <si>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</si>
  <si>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</si>
  <si>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</si>
  <si>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</si>
  <si>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</si>
  <si>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</si>
  <si>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</si>
  <si>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</si>
  <si>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</si>
  <si>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</si>
  <si>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</si>
  <si>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</si>
  <si>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</si>
  <si>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</si>
  <si>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</si>
  <si>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</si>
  <si>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</si>
  <si>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</si>
  <si>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</si>
  <si>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</si>
  <si>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</si>
  <si>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</si>
  <si>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</si>
  <si>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</si>
  <si>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</si>
  <si>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</si>
  <si>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</si>
  <si>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</si>
  <si>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</si>
  <si>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</si>
  <si>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</si>
  <si>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</si>
  <si>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</si>
  <si>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</si>
  <si>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</si>
  <si>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</si>
  <si>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</si>
  <si>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</si>
  <si>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</si>
  <si>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</si>
  <si>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</si>
  <si>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</si>
  <si>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</si>
  <si>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</si>
  <si>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</si>
  <si>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</si>
  <si>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</si>
  <si>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</si>
  <si>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</si>
  <si>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</si>
  <si>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</si>
  <si>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</si>
  <si>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</si>
  <si>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</si>
  <si>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</si>
  <si>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</si>
  <si>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</si>
  <si>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</si>
  <si>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</si>
  <si>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</si>
  <si>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</si>
  <si>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</si>
  <si>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</si>
  <si>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</si>
  <si>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</si>
  <si>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</si>
  <si>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</si>
  <si>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</si>
  <si>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</si>
  <si>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</si>
  <si>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</si>
  <si>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</si>
  <si>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</si>
  <si>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</si>
  <si>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</si>
  <si>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</si>
  <si>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</si>
  <si>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</si>
  <si>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</si>
  <si>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</si>
  <si>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</si>
  <si>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</si>
  <si>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</si>
  <si>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</si>
  <si>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</si>
  <si>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</si>
  <si>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</si>
  <si>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</si>
  <si>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</si>
  <si>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</si>
  <si>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</si>
  <si>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</si>
  <si>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</si>
  <si>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</si>
  <si>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</si>
  <si>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</si>
  <si>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</si>
  <si>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</si>
  <si>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</si>
  <si>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</si>
  <si>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</si>
  <si>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</si>
  <si>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</si>
  <si>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</si>
  <si>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</si>
  <si>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</si>
  <si>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</si>
  <si>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</si>
  <si>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</si>
  <si>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</si>
  <si>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</si>
  <si>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</si>
  <si>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</si>
  <si>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</si>
  <si>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</si>
  <si>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</si>
  <si>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</si>
  <si>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</si>
  <si>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</si>
  <si>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</si>
  <si>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</si>
  <si>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</si>
  <si>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</si>
  <si>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</si>
  <si>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</si>
  <si>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</si>
  <si>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</si>
  <si>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</si>
  <si>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</si>
  <si>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</si>
  <si>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</si>
  <si>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</si>
  <si>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</si>
  <si>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</si>
  <si>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</si>
  <si>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</si>
  <si>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</si>
  <si>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</si>
  <si>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</si>
  <si>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</si>
  <si>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</si>
  <si>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</si>
  <si>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</si>
  <si>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</si>
  <si>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</si>
  <si>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</si>
  <si>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</si>
  <si>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</si>
  <si>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</si>
  <si>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</si>
  <si>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</si>
  <si>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</si>
  <si>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</si>
  <si>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</si>
  <si>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</si>
  <si>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</si>
  <si>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</si>
  <si>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</si>
  <si>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</si>
  <si>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</si>
  <si>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</si>
  <si>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</si>
  <si>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</si>
  <si>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</si>
  <si>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</si>
  <si>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</si>
  <si>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</si>
  <si>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</si>
  <si>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</si>
  <si>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</si>
  <si>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</si>
  <si>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</si>
  <si>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</si>
  <si>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</si>
  <si>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</si>
  <si>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</si>
  <si>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</si>
  <si>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</si>
  <si>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</si>
  <si>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</si>
  <si>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</si>
  <si>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</si>
  <si>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</si>
  <si>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</si>
  <si>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</si>
  <si>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</si>
  <si>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</si>
  <si>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</si>
  <si>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</si>
  <si>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</si>
  <si>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</si>
  <si>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</si>
  <si>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</si>
  <si>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</si>
  <si>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</si>
  <si>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</si>
  <si>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</si>
  <si>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</si>
  <si>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</si>
  <si>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</si>
  <si>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</si>
  <si>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</si>
  <si>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</si>
  <si>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</si>
  <si>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</si>
  <si>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</si>
  <si>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</si>
  <si>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</si>
  <si>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</si>
  <si>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</si>
  <si>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</si>
  <si>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</si>
  <si>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</si>
  <si>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</si>
  <si>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</si>
  <si>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</si>
  <si>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</si>
  <si>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</si>
  <si>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</si>
  <si>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</si>
  <si>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</si>
  <si>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</si>
  <si>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</si>
  <si>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</si>
  <si>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</si>
  <si>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</si>
  <si>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</si>
  <si>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</si>
  <si>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</si>
  <si>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</si>
  <si>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</si>
  <si>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</si>
  <si>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</si>
  <si>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</si>
  <si>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</si>
  <si>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</si>
  <si>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</si>
  <si>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</si>
  <si>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</si>
  <si>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</si>
  <si>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</si>
  <si>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</si>
  <si>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</si>
  <si>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</si>
  <si>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</si>
  <si>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</si>
  <si>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</si>
  <si>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</si>
  <si>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</si>
  <si>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</si>
  <si>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</si>
  <si>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</si>
  <si>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</si>
  <si>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</si>
  <si>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</si>
  <si>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</si>
  <si>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</si>
  <si>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</si>
  <si>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</si>
  <si>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</si>
  <si>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</si>
  <si>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</si>
  <si>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</si>
  <si>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</si>
  <si>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</si>
  <si>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</si>
  <si>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</si>
  <si>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</si>
  <si>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</si>
  <si>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</si>
  <si>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</si>
  <si>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</si>
  <si>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</si>
  <si>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</si>
  <si>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</si>
  <si>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</si>
  <si>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</si>
  <si>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</si>
  <si>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</si>
  <si>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</si>
  <si>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</si>
  <si>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</si>
  <si>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</si>
  <si>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</si>
  <si>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</si>
  <si>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</si>
  <si>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</si>
  <si>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</si>
  <si>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</si>
  <si>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</si>
  <si>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</si>
  <si>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</si>
  <si>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</si>
  <si>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</si>
  <si>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</si>
  <si>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</si>
  <si>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</si>
  <si>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</si>
  <si>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</si>
  <si>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</si>
  <si>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</si>
  <si>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</si>
  <si>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</si>
  <si>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</si>
  <si>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</si>
  <si>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</si>
  <si>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</si>
  <si>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</si>
  <si>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</si>
  <si>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</si>
  <si>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</si>
  <si>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</si>
  <si>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</si>
  <si>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</si>
  <si>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</si>
  <si>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</si>
  <si>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</si>
  <si>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</si>
  <si>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</si>
  <si>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</si>
  <si>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</si>
  <si>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</si>
  <si>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</si>
  <si>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</si>
  <si>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</si>
  <si>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</si>
  <si>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</si>
  <si>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</si>
  <si>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</si>
  <si>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</si>
  <si>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</si>
  <si>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</si>
  <si>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</si>
  <si>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</si>
  <si>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</si>
  <si>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</si>
  <si>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</si>
  <si>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</si>
  <si>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</si>
  <si>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</si>
  <si>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</si>
  <si>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</si>
  <si>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</si>
  <si>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</si>
  <si>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</si>
  <si>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</si>
  <si>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</si>
  <si>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</si>
  <si>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</si>
  <si>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</si>
  <si>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</si>
  <si>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</si>
  <si>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</si>
  <si>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</si>
  <si>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</si>
  <si>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</si>
  <si>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</si>
  <si>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</si>
  <si>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</si>
  <si>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</si>
  <si>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</si>
  <si>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</si>
  <si>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</si>
  <si>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</si>
  <si>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</si>
  <si>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</si>
  <si>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</si>
  <si>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</si>
  <si>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</si>
  <si>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</si>
  <si>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</si>
  <si>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</si>
  <si>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</si>
  <si>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</si>
  <si>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</si>
  <si>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</si>
  <si>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</si>
  <si>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</si>
  <si>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</si>
  <si>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</si>
  <si>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</si>
  <si>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</si>
  <si>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</si>
  <si>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</si>
  <si>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</si>
  <si>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</si>
  <si>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</si>
  <si>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</si>
  <si>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</si>
  <si>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</si>
  <si>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</si>
  <si>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</si>
  <si>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</si>
  <si>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</si>
  <si>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</si>
  <si>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</si>
  <si>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</si>
  <si>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</si>
  <si>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</si>
  <si>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</si>
  <si>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</si>
  <si>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</si>
  <si>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</si>
  <si>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</si>
  <si>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</si>
  <si>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</si>
  <si>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</si>
  <si>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</si>
  <si>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</si>
  <si>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</si>
  <si>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</si>
  <si>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</si>
  <si>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</si>
  <si>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</si>
  <si>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</si>
  <si>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</si>
  <si>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</si>
  <si>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</si>
  <si>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</si>
  <si>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</si>
  <si>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</si>
  <si>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</si>
  <si>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</si>
  <si>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</si>
  <si>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</si>
  <si>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</si>
  <si>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</si>
  <si>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</si>
  <si>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</si>
  <si>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</si>
  <si>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</si>
  <si>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</si>
  <si>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</si>
  <si>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</si>
  <si>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</si>
  <si>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</si>
  <si>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</si>
  <si>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</si>
  <si>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</si>
  <si>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</si>
  <si>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</si>
  <si>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</si>
  <si>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</si>
  <si>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</si>
  <si>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</si>
  <si>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</si>
  <si>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</si>
  <si>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</si>
  <si>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</si>
  <si>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</si>
  <si>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</si>
  <si>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</si>
  <si>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</si>
  <si>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</si>
  <si>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</si>
  <si>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</si>
  <si>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</si>
  <si>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</si>
  <si>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</si>
  <si>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</si>
  <si>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</si>
  <si>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</si>
  <si>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</si>
  <si>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</si>
  <si>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</si>
  <si>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</si>
  <si>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</si>
  <si>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</si>
  <si>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</si>
  <si>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</si>
  <si>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</si>
  <si>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</si>
  <si>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</si>
  <si>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</si>
  <si>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</si>
  <si>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</si>
  <si>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</si>
  <si>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</si>
  <si>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</si>
  <si>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</si>
  <si>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</si>
  <si>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</si>
  <si>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</si>
  <si>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</si>
  <si>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</si>
  <si>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</si>
  <si>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</si>
  <si>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</si>
  <si>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</si>
  <si>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</si>
  <si>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</si>
  <si>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</si>
  <si>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</si>
  <si>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</si>
  <si>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</si>
  <si>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</si>
  <si>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</si>
  <si>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</si>
  <si>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</si>
  <si>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</si>
  <si>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</si>
  <si>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</si>
  <si>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</si>
  <si>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</si>
  <si>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</si>
  <si>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</si>
  <si>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</si>
  <si>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</si>
  <si>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</si>
  <si>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</si>
  <si>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</si>
  <si>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</si>
  <si>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</si>
  <si>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</si>
  <si>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</si>
  <si>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</si>
  <si>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</si>
  <si>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</si>
  <si>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</si>
  <si>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</si>
  <si>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</si>
  <si>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</si>
  <si>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</si>
  <si>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</si>
  <si>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</si>
  <si>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</si>
  <si>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</si>
  <si>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</si>
  <si>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</si>
  <si>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</si>
  <si>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</si>
  <si>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</si>
  <si>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</si>
  <si>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</si>
  <si>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</si>
  <si>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</si>
  <si>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</si>
  <si>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</si>
  <si>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</si>
  <si>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</si>
  <si>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</si>
  <si>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</si>
  <si>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</si>
  <si>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</si>
  <si>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</si>
  <si>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</si>
  <si>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</si>
  <si>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</si>
  <si>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</si>
  <si>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</si>
  <si>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</si>
  <si>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</si>
  <si>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</si>
  <si>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</si>
  <si>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</si>
  <si>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</si>
  <si>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</si>
  <si>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</si>
  <si>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</si>
  <si>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</si>
  <si>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</si>
  <si>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</si>
  <si>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</si>
  <si>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</si>
  <si>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</si>
  <si>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</si>
  <si>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</si>
  <si>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</si>
  <si>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</si>
  <si>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</si>
  <si>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</si>
  <si>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</si>
  <si>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</si>
  <si>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</si>
  <si>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</si>
  <si>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</si>
  <si>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</si>
  <si>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</si>
  <si>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</si>
  <si>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</si>
  <si>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</si>
  <si>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</si>
  <si>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</si>
  <si>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</si>
  <si>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</si>
  <si>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</si>
  <si>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</si>
  <si>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</si>
  <si>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</si>
  <si>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</si>
  <si>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</si>
  <si>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</si>
  <si>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</si>
  <si>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</si>
  <si>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</si>
  <si>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</si>
  <si>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</si>
  <si>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</si>
  <si>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</si>
  <si>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</si>
  <si>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</si>
  <si>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</si>
  <si>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</si>
  <si>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</si>
  <si>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</si>
  <si>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</si>
  <si>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</si>
  <si>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</si>
  <si>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</si>
  <si>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</si>
  <si>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</si>
  <si>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</si>
  <si>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</si>
  <si>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</si>
  <si>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</si>
  <si>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</si>
  <si>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</si>
  <si>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</si>
  <si>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</si>
  <si>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</si>
  <si>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</si>
  <si>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</si>
  <si>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</si>
  <si>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</si>
  <si>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</si>
  <si>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</si>
  <si>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</si>
  <si>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</si>
  <si>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</si>
  <si>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</si>
  <si>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</si>
  <si>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</si>
  <si>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</si>
  <si>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</si>
  <si>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</si>
  <si>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</si>
  <si>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</si>
  <si>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</si>
  <si>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</si>
  <si>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</si>
  <si>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</si>
  <si>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</si>
  <si>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</si>
  <si>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</si>
  <si>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</si>
  <si>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</si>
  <si>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</si>
  <si>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</si>
  <si>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</si>
  <si>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</si>
  <si>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</si>
  <si>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</si>
  <si>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</si>
  <si>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</si>
  <si>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</si>
  <si>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</si>
  <si>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</si>
  <si>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</si>
  <si>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</si>
  <si>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</si>
  <si>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</si>
  <si>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</si>
  <si>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</si>
  <si>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</si>
  <si>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</si>
  <si>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</si>
  <si>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</si>
  <si>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</si>
  <si>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</si>
  <si>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</si>
  <si>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</si>
  <si>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</si>
  <si>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</si>
  <si>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</si>
  <si>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</si>
  <si>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</si>
  <si>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</si>
  <si>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</si>
  <si>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</si>
  <si>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</si>
  <si>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</si>
  <si>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</si>
  <si>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</si>
  <si>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</si>
  <si>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</si>
  <si>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</si>
  <si>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</si>
  <si>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</si>
  <si>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</si>
  <si>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</si>
  <si>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</si>
  <si>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</si>
  <si>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</si>
  <si>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</si>
  <si>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</si>
  <si>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</si>
  <si>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</si>
  <si>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</si>
  <si>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</si>
  <si>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</si>
  <si>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</si>
  <si>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</si>
  <si>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</si>
  <si>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</si>
  <si>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</si>
  <si>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</si>
  <si>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</si>
  <si>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</si>
  <si>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</si>
  <si>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</si>
  <si>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</si>
  <si>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</si>
  <si>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</si>
  <si>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</si>
  <si>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</si>
  <si>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</si>
  <si>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</si>
  <si>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</si>
  <si>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</si>
  <si>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</si>
  <si>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</si>
  <si>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</si>
  <si>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</si>
  <si>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</si>
  <si>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</si>
  <si>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</si>
  <si>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</si>
  <si>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</si>
  <si>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</si>
  <si>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</si>
  <si>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</si>
  <si>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</si>
  <si>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</si>
  <si>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</si>
  <si>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</si>
  <si>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</si>
  <si>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</si>
  <si>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</si>
  <si>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</si>
  <si>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</si>
  <si>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</si>
  <si>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</si>
  <si>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</si>
  <si>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</si>
  <si>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</si>
  <si>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</si>
  <si>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</si>
  <si>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</si>
  <si>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</si>
  <si>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</si>
  <si>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</si>
  <si>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</si>
  <si>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</si>
  <si>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</si>
  <si>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</si>
  <si>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</si>
  <si>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</si>
  <si>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</si>
  <si>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</si>
  <si>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</si>
  <si>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</si>
  <si>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</si>
  <si>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</si>
  <si>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</si>
  <si>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</si>
  <si>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</si>
  <si>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</si>
  <si>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</si>
  <si>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</si>
  <si>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</si>
  <si>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</si>
  <si>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</si>
  <si>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</si>
  <si>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</si>
  <si>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</si>
  <si>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</si>
  <si>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</si>
  <si>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</si>
  <si>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</si>
  <si>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</si>
  <si>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</si>
  <si>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</si>
  <si>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</si>
  <si>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</si>
  <si>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</si>
  <si>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</si>
  <si>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</si>
  <si>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</si>
  <si>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</si>
  <si>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</si>
  <si>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</si>
  <si>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</si>
  <si>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</si>
  <si>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</si>
  <si>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</si>
  <si>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</si>
  <si>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</si>
  <si>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</si>
  <si>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</si>
  <si>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</si>
  <si>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</si>
  <si>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</si>
  <si>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</si>
  <si>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</si>
  <si>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</si>
  <si>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</si>
  <si>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</si>
  <si>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</si>
  <si>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</si>
  <si>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</si>
  <si>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</si>
  <si>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</si>
  <si>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</si>
  <si>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</si>
  <si>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</si>
  <si>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</si>
  <si>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</si>
  <si>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</si>
  <si>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</si>
  <si>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</si>
  <si>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</si>
  <si>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</si>
  <si>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</si>
  <si>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</si>
  <si>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</si>
  <si>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</si>
  <si>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</si>
  <si>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</si>
  <si>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</si>
  <si>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</si>
  <si>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</si>
  <si>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</si>
  <si>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</si>
  <si>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</si>
  <si>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</si>
  <si>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</si>
  <si>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</si>
  <si>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</si>
  <si>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</si>
  <si>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</si>
  <si>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</si>
  <si>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</si>
  <si>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</si>
  <si>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</si>
  <si>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</si>
  <si>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</si>
  <si>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</si>
  <si>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</si>
  <si>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</si>
  <si>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</si>
  <si>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</si>
  <si>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</si>
  <si>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</si>
  <si>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</si>
  <si>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</si>
  <si>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</si>
  <si>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</si>
  <si>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</si>
  <si>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</si>
  <si>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</si>
  <si>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</si>
  <si>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</si>
  <si>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</si>
  <si>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</si>
  <si>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</si>
  <si>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</si>
  <si>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</si>
  <si>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</si>
  <si>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</si>
  <si>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</si>
  <si>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</si>
  <si>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</si>
  <si>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</si>
  <si>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</si>
  <si>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</si>
  <si>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</si>
  <si>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</si>
  <si>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</si>
  <si>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</si>
  <si>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</si>
  <si>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</si>
  <si>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</si>
  <si>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</si>
  <si>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</si>
  <si>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</si>
  <si>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</si>
  <si>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</si>
  <si>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</si>
  <si>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</si>
  <si>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</si>
  <si>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</si>
  <si>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</si>
  <si>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</si>
  <si>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</si>
  <si>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</si>
  <si>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</si>
  <si>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</si>
  <si>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</si>
  <si>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</si>
  <si>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</si>
  <si>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</si>
  <si>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</si>
  <si>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</si>
  <si>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</si>
  <si>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</si>
  <si>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</si>
  <si>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</si>
  <si>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</si>
  <si>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</si>
  <si>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</si>
  <si>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</si>
  <si>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</si>
  <si>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</si>
  <si>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</si>
  <si>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</si>
  <si>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</si>
  <si>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</si>
  <si>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</si>
  <si>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</si>
  <si>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</si>
  <si>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</si>
  <si>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</si>
  <si>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</si>
  <si>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</si>
  <si>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</si>
  <si>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</si>
  <si>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</si>
  <si>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</si>
  <si>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</si>
  <si>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</si>
  <si>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</si>
  <si>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</si>
  <si>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</si>
  <si>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</si>
  <si>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</si>
  <si>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</si>
  <si>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</si>
  <si>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</si>
  <si>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</si>
  <si>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</si>
  <si>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</si>
  <si>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</si>
  <si>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</si>
  <si>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</si>
  <si>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</si>
  <si>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</si>
  <si>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</si>
  <si>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</si>
  <si>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</si>
  <si>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</si>
  <si>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</si>
  <si>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</si>
  <si>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</si>
  <si>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</si>
  <si>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</si>
  <si>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</si>
  <si>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</si>
  <si>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</si>
  <si>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</si>
  <si>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</si>
  <si>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</si>
  <si>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</si>
  <si>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</si>
  <si>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</si>
  <si>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</si>
  <si>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</si>
  <si>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</si>
  <si>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</si>
  <si>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</si>
  <si>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</si>
  <si>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</si>
  <si>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</si>
  <si>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</si>
  <si>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</si>
  <si>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</si>
  <si>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</si>
  <si>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</si>
  <si>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</si>
  <si>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</si>
  <si>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</si>
  <si>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</si>
  <si>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</si>
  <si>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</si>
  <si>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</si>
  <si>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</si>
  <si>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</si>
  <si>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</si>
  <si>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</si>
  <si>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</si>
  <si>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</si>
  <si>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</si>
  <si>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</si>
  <si>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</si>
  <si>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</si>
  <si>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</si>
  <si>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</si>
  <si>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</si>
  <si>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</si>
  <si>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</si>
  <si>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</si>
  <si>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</si>
  <si>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</si>
  <si>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</si>
  <si>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</si>
  <si>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</si>
  <si>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</si>
  <si>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</si>
  <si>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</si>
  <si>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</si>
  <si>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</si>
  <si>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</si>
  <si>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</si>
  <si>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</si>
  <si>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</si>
  <si>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</si>
  <si>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</si>
  <si>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</si>
  <si>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</si>
  <si>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</si>
  <si>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</si>
  <si>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</si>
  <si>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</si>
  <si>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</si>
  <si>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</si>
  <si>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</si>
  <si>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</si>
  <si>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</si>
  <si>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</si>
  <si>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</si>
  <si>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</si>
  <si>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</si>
  <si>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</si>
  <si>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</si>
  <si>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</si>
  <si>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</si>
  <si>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</si>
  <si>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</si>
  <si>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</si>
  <si>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</si>
  <si>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</si>
  <si>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</si>
  <si>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</si>
  <si>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</si>
  <si>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</si>
  <si>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</si>
  <si>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</si>
  <si>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</si>
  <si>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</si>
  <si>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</si>
  <si>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</si>
  <si>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</si>
  <si>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</si>
  <si>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</si>
  <si>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</si>
  <si>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</si>
  <si>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</si>
  <si>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</si>
  <si>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</si>
  <si>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</si>
  <si>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</si>
  <si>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</si>
  <si>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</si>
  <si>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</si>
  <si>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</si>
  <si>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</si>
  <si>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</si>
  <si>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</si>
  <si>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</si>
  <si>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</si>
  <si>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</si>
  <si>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</si>
  <si>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</si>
  <si>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</si>
  <si>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</si>
  <si>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</si>
  <si>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</si>
  <si>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</si>
  <si>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</si>
  <si>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</si>
  <si>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</si>
  <si>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</si>
  <si>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</si>
  <si>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</si>
  <si>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</si>
  <si>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</si>
  <si>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</si>
  <si>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</si>
  <si>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</si>
  <si>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</si>
  <si>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</si>
  <si>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</si>
  <si>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</si>
  <si>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</si>
  <si>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</si>
  <si>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</si>
  <si>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</si>
  <si>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</si>
  <si>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</si>
  <si>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</si>
  <si>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</si>
  <si>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</si>
  <si>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</si>
  <si>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</si>
  <si>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</si>
  <si>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</si>
  <si>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</si>
  <si>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</si>
  <si>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</si>
  <si>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</si>
  <si>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</si>
  <si>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</si>
  <si>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</si>
  <si>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</si>
  <si>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</si>
  <si>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</si>
  <si>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</si>
  <si>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</si>
  <si>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</si>
  <si>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</si>
  <si>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</si>
  <si>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</si>
  <si>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</si>
  <si>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</si>
  <si>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</si>
  <si>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</si>
  <si>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</si>
  <si>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</si>
  <si>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</si>
  <si>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</si>
  <si>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</si>
  <si>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</si>
  <si>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</si>
  <si>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</si>
  <si>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</si>
  <si>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</si>
  <si>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</si>
  <si>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</si>
  <si>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</si>
  <si>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</si>
  <si>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</si>
  <si>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</si>
  <si>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</si>
  <si>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</si>
  <si>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</si>
  <si>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</si>
  <si>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</si>
  <si>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</si>
  <si>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</si>
  <si>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</si>
  <si>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</si>
  <si>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</si>
  <si>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</si>
  <si>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</si>
  <si>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</si>
  <si>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</si>
  <si>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</si>
  <si>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</si>
  <si>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</si>
  <si>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</si>
  <si>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</si>
  <si>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</si>
  <si>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</si>
  <si>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</si>
  <si>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</si>
  <si>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</si>
  <si>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</si>
  <si>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</si>
  <si>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</si>
  <si>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</si>
  <si>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</si>
  <si>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</si>
  <si>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</si>
  <si>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</si>
  <si>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</si>
  <si>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</si>
  <si>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</si>
  <si>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</si>
  <si>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</si>
  <si>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</si>
  <si>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</si>
  <si>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</si>
  <si>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</si>
  <si>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</si>
  <si>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</si>
  <si>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</si>
  <si>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</si>
  <si>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</si>
  <si>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</si>
  <si>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</si>
  <si>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</si>
  <si>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</si>
  <si>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</si>
  <si>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</si>
  <si>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</si>
  <si>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</si>
  <si>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</si>
  <si>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</si>
  <si>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</si>
  <si>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</si>
  <si>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</si>
  <si>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</si>
  <si>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</si>
  <si>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</si>
  <si>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</si>
  <si>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</si>
  <si>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</si>
  <si>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</si>
  <si>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</si>
  <si>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</si>
  <si>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</si>
  <si>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</si>
  <si>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</si>
  <si>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</si>
  <si>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</si>
  <si>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</si>
  <si>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</si>
  <si>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</si>
  <si>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</si>
  <si>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</si>
  <si>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</si>
  <si>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</si>
  <si>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</si>
  <si>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</si>
  <si>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</si>
  <si>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</si>
  <si>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</si>
  <si>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</si>
  <si>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</si>
  <si>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</si>
  <si>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</si>
  <si>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</si>
  <si>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</si>
  <si>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</si>
  <si>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</si>
  <si>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</si>
  <si>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</si>
  <si>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</si>
  <si>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</si>
  <si>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</si>
  <si>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</si>
  <si>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</si>
  <si>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</si>
  <si>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</si>
  <si>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</si>
  <si>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</si>
  <si>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</si>
  <si>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</si>
  <si>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</si>
  <si>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</si>
  <si>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</si>
  <si>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</si>
  <si>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</si>
  <si>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</si>
  <si>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</si>
  <si>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</si>
  <si>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</si>
  <si>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</si>
  <si>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</si>
  <si>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</si>
  <si>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</si>
  <si>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</si>
  <si>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</si>
  <si>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</si>
  <si>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</si>
  <si>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</si>
  <si>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</si>
  <si>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</si>
  <si>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</si>
  <si>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</si>
  <si>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</si>
  <si>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</si>
  <si>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</si>
  <si>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</si>
  <si>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</si>
  <si>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</si>
  <si>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</si>
  <si>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</si>
  <si>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</si>
  <si>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</si>
  <si>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</si>
  <si>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</si>
  <si>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</si>
  <si>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</si>
  <si>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</si>
  <si>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</si>
  <si>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</si>
  <si>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</si>
  <si>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</si>
  <si>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</si>
  <si>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</si>
  <si>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</si>
  <si>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</si>
  <si>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</si>
  <si>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</si>
  <si>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</si>
  <si>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</si>
  <si>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</si>
  <si>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</si>
  <si>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</si>
  <si>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</si>
  <si>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</si>
  <si>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</si>
  <si>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</si>
  <si>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</si>
  <si>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</si>
  <si>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</si>
  <si>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</si>
  <si>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</si>
  <si>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</si>
  <si>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</si>
  <si>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</si>
  <si>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</si>
  <si>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</si>
  <si>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</si>
  <si>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</si>
  <si>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</si>
  <si>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</si>
  <si>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</si>
  <si>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</si>
  <si>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</si>
  <si>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</si>
  <si>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</si>
  <si>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</si>
  <si>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</si>
  <si>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</si>
  <si>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</si>
  <si>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</si>
  <si>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</si>
  <si>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</si>
  <si>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</si>
  <si>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</si>
  <si>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</si>
  <si>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</si>
  <si>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</si>
  <si>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</si>
  <si>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</si>
  <si>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</si>
  <si>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</si>
  <si>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</si>
  <si>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</si>
  <si>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</si>
  <si>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</si>
  <si>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</si>
  <si>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</si>
  <si>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</si>
  <si>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</si>
  <si>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</si>
  <si>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</si>
  <si>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</si>
  <si>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</si>
  <si>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</si>
  <si>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</si>
  <si>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</si>
  <si>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</si>
  <si>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</si>
  <si>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</si>
  <si>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</si>
  <si>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</si>
  <si>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</si>
  <si>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</si>
  <si>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</si>
  <si>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</si>
  <si>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</si>
  <si>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</si>
  <si>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</si>
  <si>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</si>
  <si>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</si>
  <si>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</si>
  <si>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</si>
  <si>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</si>
  <si>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</si>
  <si>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</si>
  <si>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</si>
  <si>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</si>
  <si>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</si>
  <si>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</si>
  <si>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</si>
  <si>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</si>
  <si>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</si>
  <si>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</si>
  <si>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</si>
  <si>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</si>
  <si>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</si>
  <si>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</si>
  <si>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</si>
  <si>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</si>
  <si>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</si>
  <si>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</si>
  <si>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</si>
  <si>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</si>
  <si>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</si>
  <si>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</si>
  <si>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</si>
  <si>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</si>
  <si>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</si>
  <si>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</si>
  <si>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</si>
  <si>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</si>
  <si>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</si>
  <si>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</si>
  <si>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</si>
  <si>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</si>
  <si>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</si>
  <si>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</si>
  <si>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</si>
  <si>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</si>
  <si>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</si>
  <si>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</si>
  <si>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</si>
  <si>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</si>
  <si>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</si>
  <si>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</si>
  <si>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</si>
  <si>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</si>
  <si>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</si>
  <si>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</si>
  <si>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</si>
  <si>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</si>
  <si>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</si>
  <si>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</si>
  <si>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</si>
  <si>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</si>
  <si>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</si>
  <si>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</si>
  <si>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</si>
  <si>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</si>
  <si>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</si>
  <si>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</si>
  <si>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</si>
  <si>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</si>
  <si>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</si>
  <si>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</si>
  <si>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</si>
  <si>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</si>
  <si>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</si>
  <si>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</si>
  <si>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</si>
  <si>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</si>
  <si>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</si>
  <si>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</si>
  <si>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</si>
  <si>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</si>
  <si>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</si>
  <si>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</si>
  <si>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</si>
  <si>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</si>
  <si>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</si>
  <si>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</si>
  <si>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</si>
  <si>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</si>
  <si>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</si>
  <si>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</si>
  <si>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</si>
  <si>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</si>
  <si>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</si>
  <si>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</si>
  <si>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</si>
  <si>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</si>
  <si>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</si>
  <si>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</si>
  <si>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</si>
  <si>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</si>
  <si>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</si>
  <si>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</si>
  <si>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</si>
  <si>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</si>
  <si>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</si>
  <si>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</si>
  <si>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</si>
  <si>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</si>
  <si>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</si>
  <si>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</si>
  <si>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</si>
  <si>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</si>
  <si>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</si>
  <si>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</si>
  <si>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</si>
  <si>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</si>
  <si>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</si>
  <si>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</si>
  <si>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</si>
  <si>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</si>
  <si>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</si>
  <si>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</si>
  <si>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</si>
  <si>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</si>
  <si>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</si>
  <si>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</si>
  <si>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</si>
  <si>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</si>
  <si>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</si>
  <si>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</si>
  <si>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</si>
  <si>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</si>
  <si>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</si>
  <si>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</si>
  <si>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</si>
  <si>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</si>
  <si>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</si>
  <si>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</si>
  <si>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</si>
  <si>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</si>
  <si>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</si>
  <si>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</si>
  <si>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</si>
  <si>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</si>
  <si>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</si>
  <si>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</si>
  <si>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</si>
  <si>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</si>
  <si>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</si>
  <si>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</si>
  <si>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</si>
  <si>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</si>
  <si>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</si>
  <si>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</si>
  <si>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</si>
  <si>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</si>
  <si>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</si>
  <si>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</si>
  <si>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</si>
  <si>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</si>
  <si>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</si>
  <si>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</si>
  <si>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</si>
  <si>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</si>
  <si>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</si>
  <si>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</si>
  <si>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</si>
  <si>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</si>
  <si>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</si>
  <si>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</si>
  <si>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</si>
  <si>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</si>
  <si>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</si>
  <si>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</si>
  <si>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</si>
  <si>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</si>
  <si>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</si>
  <si>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</si>
  <si>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</si>
  <si>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</si>
  <si>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</si>
  <si>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</si>
  <si>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</si>
  <si>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</si>
  <si>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</si>
  <si>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</si>
  <si>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</si>
  <si>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</si>
  <si>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</si>
  <si>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</si>
  <si>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</si>
  <si>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</si>
  <si>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</si>
  <si>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</si>
  <si>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</si>
  <si>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</si>
  <si>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</si>
  <si>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</si>
  <si>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</si>
  <si>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</si>
  <si>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</si>
  <si>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</si>
  <si>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</si>
  <si>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</si>
  <si>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</si>
  <si>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Month</t>
  </si>
  <si>
    <t>Year</t>
  </si>
  <si>
    <t>Sales Category</t>
  </si>
  <si>
    <t>Row Labels</t>
  </si>
  <si>
    <t>Grand Total</t>
  </si>
  <si>
    <t>Sum of TotalPrice</t>
  </si>
  <si>
    <t>Count of CustomerID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</si>
  <si>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</si>
  <si>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</si>
  <si>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</si>
  <si>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</si>
  <si>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</si>
  <si>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</si>
  <si>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</si>
  <si>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</si>
  <si>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</si>
  <si>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</si>
  <si>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</si>
  <si>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</si>
  <si>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ReviewRating</t>
  </si>
  <si>
    <t>Total Rrevenue</t>
  </si>
  <si>
    <t>Total Orders</t>
  </si>
  <si>
    <t>Average Rating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</si>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</sst>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443118.7100000002</c:v>
                </c:pt>
                <c:pt idx="1">
                  <c:v>454006.70000000007</c:v>
                </c:pt>
                <c:pt idx="2">
                  <c:v>481721.40000000014</c:v>
                </c:pt>
                <c:pt idx="3">
                  <c:v>468632.8</c:v>
                </c:pt>
                <c:pt idx="4">
                  <c:v>444989.71999999974</c:v>
                </c:pt>
                <c:pt idx="5">
                  <c:v>441096.47</c:v>
                </c:pt>
                <c:pt idx="6">
                  <c:v>533090.99999999988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F-4204-AA97-66845C29D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83135"/>
        <c:axId val="1940880255"/>
      </c:barChart>
      <c:catAx>
        <c:axId val="19408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0255"/>
        <c:crosses val="autoZero"/>
        <c:auto val="1"/>
        <c:lblAlgn val="ctr"/>
        <c:lblOffset val="100"/>
        <c:noMultiLvlLbl val="0"/>
      </c:catAx>
      <c:valAx>
        <c:axId val="19408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52-4F9A-A92A-496567ACD4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52-4F9A-A92A-496567ACD4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52-4F9A-A92A-496567ACD479}"/>
              </c:ext>
            </c:extLst>
          </c:dPt>
          <c:cat>
            <c:strRef>
              <c:f>'pivot Table'!$D$4:$D$7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1049911.9800000007</c:v>
                </c:pt>
                <c:pt idx="1">
                  <c:v>1083282.2499999988</c:v>
                </c:pt>
                <c:pt idx="2">
                  <c:v>1133462.57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C-4EF5-A9E3-F85AB05AD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Table'!$I$4:$I$9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Table'!$J$4:$J$9</c:f>
              <c:numCache>
                <c:formatCode>General</c:formatCode>
                <c:ptCount val="5"/>
                <c:pt idx="0">
                  <c:v>356</c:v>
                </c:pt>
                <c:pt idx="1">
                  <c:v>349</c:v>
                </c:pt>
                <c:pt idx="2">
                  <c:v>396</c:v>
                </c:pt>
                <c:pt idx="3">
                  <c:v>353</c:v>
                </c:pt>
                <c:pt idx="4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A-4F28-90F3-9EADB2C3D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368207"/>
        <c:axId val="520361007"/>
      </c:barChart>
      <c:catAx>
        <c:axId val="52036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61007"/>
        <c:crosses val="autoZero"/>
        <c:auto val="1"/>
        <c:lblAlgn val="ctr"/>
        <c:lblOffset val="100"/>
        <c:noMultiLvlLbl val="0"/>
      </c:catAx>
      <c:valAx>
        <c:axId val="5203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6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Table'!$L$4:$L$16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Table'!$M$4:$M$16</c:f>
              <c:numCache>
                <c:formatCode>General</c:formatCode>
                <c:ptCount val="12"/>
                <c:pt idx="0">
                  <c:v>315133.46999999997</c:v>
                </c:pt>
                <c:pt idx="1">
                  <c:v>311696.2300000001</c:v>
                </c:pt>
                <c:pt idx="2">
                  <c:v>293225.57000000007</c:v>
                </c:pt>
                <c:pt idx="3">
                  <c:v>292344.94999999995</c:v>
                </c:pt>
                <c:pt idx="4">
                  <c:v>385029.5</c:v>
                </c:pt>
                <c:pt idx="5">
                  <c:v>332211.27999999985</c:v>
                </c:pt>
                <c:pt idx="6">
                  <c:v>222012.99000000002</c:v>
                </c:pt>
                <c:pt idx="7">
                  <c:v>246571.77000000008</c:v>
                </c:pt>
                <c:pt idx="8">
                  <c:v>183940.81</c:v>
                </c:pt>
                <c:pt idx="9">
                  <c:v>192056.24999999994</c:v>
                </c:pt>
                <c:pt idx="10">
                  <c:v>246889.72000000009</c:v>
                </c:pt>
                <c:pt idx="11">
                  <c:v>245544.2600000001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3-41FB-B08C-4E02BB797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359087"/>
        <c:axId val="520375887"/>
      </c:lineChart>
      <c:catAx>
        <c:axId val="52035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75887"/>
        <c:crosses val="autoZero"/>
        <c:auto val="1"/>
        <c:lblAlgn val="ctr"/>
        <c:lblOffset val="100"/>
        <c:noMultiLvlLbl val="0"/>
      </c:catAx>
      <c:valAx>
        <c:axId val="52037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5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Rating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Table'!$P$4:$P$11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Table'!$Q$4:$Q$11</c:f>
              <c:numCache>
                <c:formatCode>General</c:formatCode>
                <c:ptCount val="7"/>
                <c:pt idx="0">
                  <c:v>2.9920948616600791</c:v>
                </c:pt>
                <c:pt idx="1">
                  <c:v>2.92578125</c:v>
                </c:pt>
                <c:pt idx="2">
                  <c:v>2.9178571428571427</c:v>
                </c:pt>
                <c:pt idx="3">
                  <c:v>3.0590551181102361</c:v>
                </c:pt>
                <c:pt idx="4">
                  <c:v>2.9918699186991868</c:v>
                </c:pt>
                <c:pt idx="5">
                  <c:v>2.9699570815450644</c:v>
                </c:pt>
                <c:pt idx="6">
                  <c:v>3.1043165467625897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F-4390-B393-9DE67D4C9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91727"/>
        <c:axId val="520399407"/>
      </c:barChart>
      <c:catAx>
        <c:axId val="5203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99407"/>
        <c:crosses val="autoZero"/>
        <c:auto val="1"/>
        <c:lblAlgn val="ctr"/>
        <c:lblOffset val="100"/>
        <c:noMultiLvlLbl val="0"/>
      </c:catAx>
      <c:valAx>
        <c:axId val="5203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9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025196850393701"/>
          <c:y val="3.7950664136622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443118.7100000002</c:v>
                </c:pt>
                <c:pt idx="1">
                  <c:v>454006.70000000007</c:v>
                </c:pt>
                <c:pt idx="2">
                  <c:v>481721.40000000014</c:v>
                </c:pt>
                <c:pt idx="3">
                  <c:v>468632.8</c:v>
                </c:pt>
                <c:pt idx="4">
                  <c:v>444989.71999999974</c:v>
                </c:pt>
                <c:pt idx="5">
                  <c:v>441096.47</c:v>
                </c:pt>
                <c:pt idx="6">
                  <c:v>533090.99999999988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6-4AA2-B9D5-B933B53A5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940883135"/>
        <c:axId val="1940880255"/>
      </c:barChart>
      <c:catAx>
        <c:axId val="19408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0255"/>
        <c:crosses val="autoZero"/>
        <c:auto val="1"/>
        <c:lblAlgn val="ctr"/>
        <c:lblOffset val="100"/>
        <c:noMultiLvlLbl val="0"/>
      </c:catAx>
      <c:valAx>
        <c:axId val="194088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Rating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Table'!$P$4:$P$11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Table'!$Q$4:$Q$11</c:f>
              <c:numCache>
                <c:formatCode>General</c:formatCode>
                <c:ptCount val="7"/>
                <c:pt idx="0">
                  <c:v>2.9920948616600791</c:v>
                </c:pt>
                <c:pt idx="1">
                  <c:v>2.92578125</c:v>
                </c:pt>
                <c:pt idx="2">
                  <c:v>2.9178571428571427</c:v>
                </c:pt>
                <c:pt idx="3">
                  <c:v>3.0590551181102361</c:v>
                </c:pt>
                <c:pt idx="4">
                  <c:v>2.9918699186991868</c:v>
                </c:pt>
                <c:pt idx="5">
                  <c:v>2.9699570815450644</c:v>
                </c:pt>
                <c:pt idx="6">
                  <c:v>3.1043165467625897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0-4895-8192-2D5F81EB2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20391727"/>
        <c:axId val="520399407"/>
      </c:barChart>
      <c:catAx>
        <c:axId val="5203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99407"/>
        <c:crosses val="autoZero"/>
        <c:auto val="1"/>
        <c:lblAlgn val="ctr"/>
        <c:lblOffset val="100"/>
        <c:noMultiLvlLbl val="0"/>
      </c:catAx>
      <c:valAx>
        <c:axId val="52039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9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Table'!$L$4:$L$16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Table'!$M$4:$M$16</c:f>
              <c:numCache>
                <c:formatCode>General</c:formatCode>
                <c:ptCount val="12"/>
                <c:pt idx="0">
                  <c:v>315133.46999999997</c:v>
                </c:pt>
                <c:pt idx="1">
                  <c:v>311696.2300000001</c:v>
                </c:pt>
                <c:pt idx="2">
                  <c:v>293225.57000000007</c:v>
                </c:pt>
                <c:pt idx="3">
                  <c:v>292344.94999999995</c:v>
                </c:pt>
                <c:pt idx="4">
                  <c:v>385029.5</c:v>
                </c:pt>
                <c:pt idx="5">
                  <c:v>332211.27999999985</c:v>
                </c:pt>
                <c:pt idx="6">
                  <c:v>222012.99000000002</c:v>
                </c:pt>
                <c:pt idx="7">
                  <c:v>246571.77000000008</c:v>
                </c:pt>
                <c:pt idx="8">
                  <c:v>183940.81</c:v>
                </c:pt>
                <c:pt idx="9">
                  <c:v>192056.24999999994</c:v>
                </c:pt>
                <c:pt idx="10">
                  <c:v>246889.72000000009</c:v>
                </c:pt>
                <c:pt idx="11">
                  <c:v>245544.2600000001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2-4BF6-9F1C-FECDCBD0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359087"/>
        <c:axId val="520375887"/>
      </c:lineChart>
      <c:catAx>
        <c:axId val="52035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75887"/>
        <c:crosses val="autoZero"/>
        <c:auto val="1"/>
        <c:lblAlgn val="ctr"/>
        <c:lblOffset val="100"/>
        <c:noMultiLvlLbl val="0"/>
      </c:catAx>
      <c:valAx>
        <c:axId val="52037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590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Table'!$I$4:$I$9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Table'!$J$4:$J$9</c:f>
              <c:numCache>
                <c:formatCode>General</c:formatCode>
                <c:ptCount val="5"/>
                <c:pt idx="0">
                  <c:v>356</c:v>
                </c:pt>
                <c:pt idx="1">
                  <c:v>349</c:v>
                </c:pt>
                <c:pt idx="2">
                  <c:v>396</c:v>
                </c:pt>
                <c:pt idx="3">
                  <c:v>353</c:v>
                </c:pt>
                <c:pt idx="4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E-40EB-BBF7-7ED5C299E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520368207"/>
        <c:axId val="520361007"/>
      </c:barChart>
      <c:catAx>
        <c:axId val="52036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61007"/>
        <c:crosses val="autoZero"/>
        <c:auto val="1"/>
        <c:lblAlgn val="ctr"/>
        <c:lblOffset val="100"/>
        <c:noMultiLvlLbl val="0"/>
      </c:catAx>
      <c:valAx>
        <c:axId val="5203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6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^0Customer Analysis Dashboard.xlsx]pivot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6F8-4D08-ACF1-8738B521187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6F8-4D08-ACF1-8738B521187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6F8-4D08-ACF1-8738B5211875}"/>
              </c:ext>
            </c:extLst>
          </c:dPt>
          <c:cat>
            <c:strRef>
              <c:f>'pivot Table'!$D$4:$D$7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1049911.9800000007</c:v>
                </c:pt>
                <c:pt idx="1">
                  <c:v>1083282.2499999988</c:v>
                </c:pt>
                <c:pt idx="2">
                  <c:v>1133462.57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F8-4D08-ACF1-8738B521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8.xml"/><Relationship Id="rId7" Type="http://schemas.openxmlformats.org/officeDocument/2006/relationships/image" Target="../media/image2.sv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11</xdr:row>
      <xdr:rowOff>160020</xdr:rowOff>
    </xdr:from>
    <xdr:to>
      <xdr:col>3</xdr:col>
      <xdr:colOff>746760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6973C-BE3D-90D9-56CD-258B5F6B6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10</xdr:row>
      <xdr:rowOff>87630</xdr:rowOff>
    </xdr:from>
    <xdr:to>
      <xdr:col>7</xdr:col>
      <xdr:colOff>335280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5F87A9-8644-3CC1-89C2-AC20BCADF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563880</xdr:colOff>
      <xdr:row>10</xdr:row>
      <xdr:rowOff>26670</xdr:rowOff>
    </xdr:from>
    <xdr:to>
      <xdr:col>10</xdr:col>
      <xdr:colOff>533400</xdr:colOff>
      <xdr:row>18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8759DE-A257-4300-AB29-48B90AEFD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1059180</xdr:colOff>
      <xdr:row>16</xdr:row>
      <xdr:rowOff>125730</xdr:rowOff>
    </xdr:from>
    <xdr:to>
      <xdr:col>14</xdr:col>
      <xdr:colOff>167640</xdr:colOff>
      <xdr:row>27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700D3B-0277-4C01-58D3-A70842EEB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571500</xdr:colOff>
      <xdr:row>11</xdr:row>
      <xdr:rowOff>171450</xdr:rowOff>
    </xdr:from>
    <xdr:to>
      <xdr:col>17</xdr:col>
      <xdr:colOff>579120</xdr:colOff>
      <xdr:row>22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90AA11-81AA-3410-664F-43B032F89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0</xdr:row>
      <xdr:rowOff>83820</xdr:rowOff>
    </xdr:from>
    <xdr:to>
      <xdr:col>23</xdr:col>
      <xdr:colOff>114300</xdr:colOff>
      <xdr:row>5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EC346FE-B9C4-08E6-E19E-B5471DB50DB1}"/>
            </a:ext>
          </a:extLst>
        </xdr:cNvPr>
        <xdr:cNvSpPr/>
      </xdr:nvSpPr>
      <xdr:spPr>
        <a:xfrm>
          <a:off x="1127760" y="83820"/>
          <a:ext cx="13007340" cy="86868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4400" b="1">
              <a:solidFill>
                <a:schemeClr val="tx2">
                  <a:lumMod val="50000"/>
                </a:schemeClr>
              </a:solidFill>
            </a:rPr>
            <a:t>       E-Commerce Sales &amp; Customer Analysis Dashboard</a:t>
          </a:r>
        </a:p>
      </xdr:txBody>
    </xdr:sp>
    <xdr:clientData/>
  </xdr:twoCellAnchor>
  <xdr:twoCellAnchor>
    <xdr:from>
      <xdr:col>0</xdr:col>
      <xdr:colOff>434340</xdr:colOff>
      <xdr:row>14</xdr:row>
      <xdr:rowOff>38100</xdr:rowOff>
    </xdr:from>
    <xdr:to>
      <xdr:col>8</xdr:col>
      <xdr:colOff>304800</xdr:colOff>
      <xdr:row>28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2CDB3E-A0D0-B129-522A-8E4B7BBDF0B2}"/>
            </a:ext>
          </a:extLst>
        </xdr:cNvPr>
        <xdr:cNvSpPr/>
      </xdr:nvSpPr>
      <xdr:spPr>
        <a:xfrm>
          <a:off x="434340" y="2598420"/>
          <a:ext cx="4747260" cy="26212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83820</xdr:colOff>
      <xdr:row>6</xdr:row>
      <xdr:rowOff>22860</xdr:rowOff>
    </xdr:from>
    <xdr:to>
      <xdr:col>0</xdr:col>
      <xdr:colOff>342900</xdr:colOff>
      <xdr:row>28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45BFCD3-44E8-AB16-ED1C-52855722A606}"/>
            </a:ext>
          </a:extLst>
        </xdr:cNvPr>
        <xdr:cNvSpPr/>
      </xdr:nvSpPr>
      <xdr:spPr>
        <a:xfrm>
          <a:off x="83820" y="1120140"/>
          <a:ext cx="259080" cy="4038600"/>
        </a:xfrm>
        <a:prstGeom prst="roundRect">
          <a:avLst/>
        </a:prstGeom>
        <a:ln>
          <a:headEnd type="none" w="med" len="med"/>
          <a:tailEnd type="none" w="med" len="med"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457200</xdr:colOff>
      <xdr:row>17</xdr:row>
      <xdr:rowOff>114300</xdr:rowOff>
    </xdr:from>
    <xdr:to>
      <xdr:col>15</xdr:col>
      <xdr:colOff>480060</xdr:colOff>
      <xdr:row>28</xdr:row>
      <xdr:rowOff>60960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D9ED4DF-E93B-40D3-8E22-BF19DE25BB4A}"/>
            </a:ext>
          </a:extLst>
        </xdr:cNvPr>
        <xdr:cNvSpPr/>
      </xdr:nvSpPr>
      <xdr:spPr>
        <a:xfrm>
          <a:off x="5334000" y="3223260"/>
          <a:ext cx="4290060" cy="195834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22860</xdr:colOff>
      <xdr:row>17</xdr:row>
      <xdr:rowOff>106680</xdr:rowOff>
    </xdr:from>
    <xdr:to>
      <xdr:col>22</xdr:col>
      <xdr:colOff>472440</xdr:colOff>
      <xdr:row>28</xdr:row>
      <xdr:rowOff>53340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69BA210-CA87-4326-973D-784E064337E1}"/>
            </a:ext>
          </a:extLst>
        </xdr:cNvPr>
        <xdr:cNvSpPr/>
      </xdr:nvSpPr>
      <xdr:spPr>
        <a:xfrm>
          <a:off x="9776460" y="3215640"/>
          <a:ext cx="4107180" cy="195834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350520</xdr:colOff>
      <xdr:row>5</xdr:row>
      <xdr:rowOff>114300</xdr:rowOff>
    </xdr:from>
    <xdr:to>
      <xdr:col>15</xdr:col>
      <xdr:colOff>510540</xdr:colOff>
      <xdr:row>16</xdr:row>
      <xdr:rowOff>60960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826EBB2-AA25-4F8E-89DA-612589365848}"/>
            </a:ext>
          </a:extLst>
        </xdr:cNvPr>
        <xdr:cNvSpPr/>
      </xdr:nvSpPr>
      <xdr:spPr>
        <a:xfrm>
          <a:off x="5227320" y="1028700"/>
          <a:ext cx="4427220" cy="195834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53340</xdr:colOff>
      <xdr:row>5</xdr:row>
      <xdr:rowOff>114300</xdr:rowOff>
    </xdr:from>
    <xdr:to>
      <xdr:col>23</xdr:col>
      <xdr:colOff>76200</xdr:colOff>
      <xdr:row>16</xdr:row>
      <xdr:rowOff>60960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182491A-AD16-4CAA-9B84-8B06CD1D3FA4}"/>
            </a:ext>
          </a:extLst>
        </xdr:cNvPr>
        <xdr:cNvSpPr/>
      </xdr:nvSpPr>
      <xdr:spPr>
        <a:xfrm>
          <a:off x="9806940" y="1028700"/>
          <a:ext cx="4290060" cy="195834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60960</xdr:colOff>
      <xdr:row>15</xdr:row>
      <xdr:rowOff>0</xdr:rowOff>
    </xdr:from>
    <xdr:to>
      <xdr:col>7</xdr:col>
      <xdr:colOff>541020</xdr:colOff>
      <xdr:row>27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7C78B2-195E-4ECC-88A7-91B64FD3C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7620</xdr:rowOff>
    </xdr:from>
    <xdr:to>
      <xdr:col>15</xdr:col>
      <xdr:colOff>220980</xdr:colOff>
      <xdr:row>15</xdr:row>
      <xdr:rowOff>179070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75D59D-0096-441A-999E-B11DE2E09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312420</xdr:colOff>
      <xdr:row>18</xdr:row>
      <xdr:rowOff>45720</xdr:rowOff>
    </xdr:from>
    <xdr:to>
      <xdr:col>22</xdr:col>
      <xdr:colOff>205740</xdr:colOff>
      <xdr:row>27</xdr:row>
      <xdr:rowOff>121920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DC4398-0A93-44D1-A0FA-5B3BCAB0D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83820</xdr:colOff>
      <xdr:row>18</xdr:row>
      <xdr:rowOff>22860</xdr:rowOff>
    </xdr:from>
    <xdr:to>
      <xdr:col>15</xdr:col>
      <xdr:colOff>228600</xdr:colOff>
      <xdr:row>27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93AE045-E05A-4FC5-A3C9-0890B39DD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358140</xdr:colOff>
      <xdr:row>6</xdr:row>
      <xdr:rowOff>30480</xdr:rowOff>
    </xdr:from>
    <xdr:to>
      <xdr:col>22</xdr:col>
      <xdr:colOff>327660</xdr:colOff>
      <xdr:row>15</xdr:row>
      <xdr:rowOff>144780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151CF13-DE78-4F47-8E10-5CFC0DDF6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457200</xdr:colOff>
      <xdr:row>6</xdr:row>
      <xdr:rowOff>0</xdr:rowOff>
    </xdr:from>
    <xdr:to>
      <xdr:col>4</xdr:col>
      <xdr:colOff>251460</xdr:colOff>
      <xdr:row>9</xdr:row>
      <xdr:rowOff>106680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532D1DF-C356-6A41-EA75-D11AF020E972}"/>
            </a:ext>
          </a:extLst>
        </xdr:cNvPr>
        <xdr:cNvSpPr/>
      </xdr:nvSpPr>
      <xdr:spPr>
        <a:xfrm>
          <a:off x="457200" y="1097280"/>
          <a:ext cx="2232660" cy="65532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       Total</a:t>
          </a:r>
          <a:r>
            <a:rPr lang="en-US" sz="1600" b="1" baseline="0"/>
            <a:t> Revenue                            </a:t>
          </a:r>
          <a:r>
            <a:rPr lang="en-US" sz="16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                  3266657</a:t>
          </a:r>
          <a:endParaRPr lang="en-US" sz="1600" b="1"/>
        </a:p>
      </xdr:txBody>
    </xdr:sp>
    <xdr:clientData/>
  </xdr:twoCellAnchor>
  <xdr:twoCellAnchor>
    <xdr:from>
      <xdr:col>0</xdr:col>
      <xdr:colOff>495300</xdr:colOff>
      <xdr:row>9</xdr:row>
      <xdr:rowOff>167640</xdr:rowOff>
    </xdr:from>
    <xdr:to>
      <xdr:col>4</xdr:col>
      <xdr:colOff>289560</xdr:colOff>
      <xdr:row>13</xdr:row>
      <xdr:rowOff>91440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FC5C70D-D074-401E-BFF4-C7F7DC731694}"/>
            </a:ext>
          </a:extLst>
        </xdr:cNvPr>
        <xdr:cNvSpPr/>
      </xdr:nvSpPr>
      <xdr:spPr>
        <a:xfrm>
          <a:off x="495300" y="1813560"/>
          <a:ext cx="2232660" cy="65532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      Average</a:t>
          </a:r>
          <a:r>
            <a:rPr lang="en-US" sz="1600" b="1" baseline="0"/>
            <a:t> Rating                </a:t>
          </a:r>
          <a:r>
            <a:rPr lang="en-US">
              <a:effectLst/>
            </a:rPr>
            <a:t> </a:t>
          </a:r>
        </a:p>
        <a:p>
          <a:pPr algn="l"/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2.995</a:t>
          </a:r>
          <a:r>
            <a:rPr lang="en-US" sz="1600" b="1">
              <a:effectLst/>
            </a:rPr>
            <a:t> </a:t>
          </a:r>
          <a:endParaRPr lang="en-US" sz="1600" b="1"/>
        </a:p>
      </xdr:txBody>
    </xdr:sp>
    <xdr:clientData/>
  </xdr:twoCellAnchor>
  <xdr:twoCellAnchor>
    <xdr:from>
      <xdr:col>4</xdr:col>
      <xdr:colOff>403860</xdr:colOff>
      <xdr:row>6</xdr:row>
      <xdr:rowOff>7620</xdr:rowOff>
    </xdr:from>
    <xdr:to>
      <xdr:col>8</xdr:col>
      <xdr:colOff>198120</xdr:colOff>
      <xdr:row>9</xdr:row>
      <xdr:rowOff>114300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0C5A1F5-D165-494C-914D-74CF44F895D7}"/>
            </a:ext>
          </a:extLst>
        </xdr:cNvPr>
        <xdr:cNvSpPr/>
      </xdr:nvSpPr>
      <xdr:spPr>
        <a:xfrm>
          <a:off x="2842260" y="1104900"/>
          <a:ext cx="2232660" cy="65532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         Total Orders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600">
              <a:effectLst/>
            </a:rPr>
            <a:t>                </a:t>
          </a:r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1800</a:t>
          </a:r>
          <a:r>
            <a:rPr lang="en-US" sz="1600" b="1">
              <a:effectLst/>
            </a:rPr>
            <a:t> </a:t>
          </a:r>
          <a:endParaRPr lang="en-US" sz="1600" b="1"/>
        </a:p>
      </xdr:txBody>
    </xdr:sp>
    <xdr:clientData/>
  </xdr:twoCellAnchor>
  <xdr:twoCellAnchor>
    <xdr:from>
      <xdr:col>4</xdr:col>
      <xdr:colOff>411480</xdr:colOff>
      <xdr:row>9</xdr:row>
      <xdr:rowOff>175260</xdr:rowOff>
    </xdr:from>
    <xdr:to>
      <xdr:col>8</xdr:col>
      <xdr:colOff>205740</xdr:colOff>
      <xdr:row>13</xdr:row>
      <xdr:rowOff>99060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35BE054-455D-4ED9-B8AF-2114B7654BF4}"/>
            </a:ext>
          </a:extLst>
        </xdr:cNvPr>
        <xdr:cNvSpPr/>
      </xdr:nvSpPr>
      <xdr:spPr>
        <a:xfrm>
          <a:off x="2849880" y="1821180"/>
          <a:ext cx="2232660" cy="65532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   Total Quantity Sold           </a:t>
          </a:r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8260</a:t>
          </a:r>
          <a:r>
            <a:rPr lang="en-US" sz="1600" b="1">
              <a:effectLst/>
            </a:rPr>
            <a:t> </a:t>
          </a:r>
          <a:endParaRPr lang="en-US" sz="1600" b="1"/>
        </a:p>
      </xdr:txBody>
    </xdr:sp>
    <xdr:clientData/>
  </xdr:twoCellAnchor>
  <xdr:twoCellAnchor>
    <xdr:from>
      <xdr:col>0</xdr:col>
      <xdr:colOff>144780</xdr:colOff>
      <xdr:row>0</xdr:row>
      <xdr:rowOff>91440</xdr:rowOff>
    </xdr:from>
    <xdr:to>
      <xdr:col>1</xdr:col>
      <xdr:colOff>434340</xdr:colOff>
      <xdr:row>5</xdr:row>
      <xdr:rowOff>30480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32872612-727D-58CC-6B15-DD7846C3DCD9}"/>
            </a:ext>
          </a:extLst>
        </xdr:cNvPr>
        <xdr:cNvSpPr/>
      </xdr:nvSpPr>
      <xdr:spPr>
        <a:xfrm>
          <a:off x="144780" y="91440"/>
          <a:ext cx="899160" cy="853440"/>
        </a:xfrm>
        <a:prstGeom prst="round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15240</xdr:colOff>
      <xdr:row>0</xdr:row>
      <xdr:rowOff>45720</xdr:rowOff>
    </xdr:from>
    <xdr:to>
      <xdr:col>3</xdr:col>
      <xdr:colOff>320040</xdr:colOff>
      <xdr:row>5</xdr:row>
      <xdr:rowOff>45720</xdr:rowOff>
    </xdr:to>
    <xdr:pic>
      <xdr:nvPicPr>
        <xdr:cNvPr id="20" name="Graphic 19" descr="Shopping cart">
          <a:extLst>
            <a:ext uri="{FF2B5EF4-FFF2-40B4-BE49-F238E27FC236}">
              <a16:creationId xmlns:a16="http://schemas.microsoft.com/office/drawing/2014/main" id="{06F3955F-6034-4763-69A9-D816DF41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34440" y="4572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68580</xdr:rowOff>
    </xdr:from>
    <xdr:to>
      <xdr:col>1</xdr:col>
      <xdr:colOff>441960</xdr:colOff>
      <xdr:row>5</xdr:row>
      <xdr:rowOff>68580</xdr:rowOff>
    </xdr:to>
    <xdr:pic>
      <xdr:nvPicPr>
        <xdr:cNvPr id="27" name="Graphic 26" descr="Bar chart">
          <a:extLst>
            <a:ext uri="{FF2B5EF4-FFF2-40B4-BE49-F238E27FC236}">
              <a16:creationId xmlns:a16="http://schemas.microsoft.com/office/drawing/2014/main" id="{A4E5F188-1F73-2172-7EA2-945882CC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7160" y="68580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" refreshedDate="46161.68394166667" createdVersion="8" refreshedVersion="8" minRefreshableVersion="3" recordCount="1800" xr:uid="{E7AA9939-FFF2-40B0-A609-4CE5D4894A5F}">
  <cacheSource type="worksheet">
    <worksheetSource name="Table1"/>
  </cacheSource>
  <cacheFields count="13">
    <cacheField name="CustomerID" numFmtId="0">
      <sharedItems/>
    </cacheField>
    <cacheField name="Product" numFmtId="0">
      <sharedItems count="7">
        <s v="Phone"/>
        <s v="Laptop"/>
        <s v="Chair"/>
        <s v="Printer"/>
        <s v="Monitor"/>
        <s v="Desk"/>
        <s v="Tablet"/>
      </sharedItems>
    </cacheField>
    <cacheField name="PurchaseDate" numFmtId="164">
      <sharedItems containsSemiMixedTypes="0" containsNonDate="0" containsDate="1" containsString="0" minDate="2023-01-01T00:00:00" maxDate="2025-07-01T00:00:00"/>
    </cacheField>
    <cacheField name="Quantity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minValue="5.18" maxValue="799.91"/>
    </cacheField>
    <cacheField name="CustomerName" numFmtId="0">
      <sharedItems/>
    </cacheField>
    <cacheField name="ProductCategory" numFmtId="0">
      <sharedItems count="3">
        <s v="Office Supplies"/>
        <s v="Electronics"/>
        <s v="Furniture"/>
      </sharedItems>
    </cacheField>
    <cacheField name="PaymentMethod" numFmtId="0">
      <sharedItems count="5">
        <s v="Cash"/>
        <s v="Debit Card"/>
        <s v="Credit Card"/>
        <s v="Gift Card"/>
        <s v="Online"/>
      </sharedItems>
    </cacheField>
    <cacheField name="ReviewRating" numFmtId="0">
      <sharedItems containsSemiMixedTypes="0" containsString="0" containsNumber="1" containsInteger="1" minValue="1" maxValue="5" count="5">
        <n v="1"/>
        <n v="3"/>
        <n v="4"/>
        <n v="2"/>
        <n v="5"/>
      </sharedItems>
    </cacheField>
    <cacheField name="TotalPrice" numFmtId="0">
      <sharedItems containsSemiMixedTypes="0" containsString="0" containsNumber="1" minValue="6.06" maxValue="6389.12"/>
    </cacheField>
    <cacheField name="Month" numFmtId="0">
      <sharedItems count="12">
        <s v="Mar"/>
        <s v="Jun"/>
        <s v="Sep"/>
        <s v="Apr"/>
        <s v="Aug"/>
        <s v="Feb"/>
        <s v="Jan"/>
        <s v="Nov"/>
        <s v="Dec"/>
        <s v="Oct"/>
        <s v="May"/>
        <s v="Jul"/>
      </sharedItems>
    </cacheField>
    <cacheField name="Year" numFmtId="0">
      <sharedItems containsSemiMixedTypes="0" containsString="0" containsNumber="1" containsInteger="1" minValue="2023" maxValue="2025"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C5361"/>
    <x v="0"/>
    <d v="2024-03-05T00:00:00"/>
    <n v="8"/>
    <n v="618.83000000000004"/>
    <s v="Customer C5361"/>
    <x v="0"/>
    <x v="0"/>
    <x v="0"/>
    <n v="4950.6400000000003"/>
    <x v="0"/>
    <n v="2024"/>
    <s v="High Sales"/>
  </r>
  <r>
    <s v="C6231"/>
    <x v="1"/>
    <d v="2025-06-21T00:00:00"/>
    <n v="7"/>
    <n v="366.22"/>
    <s v="Customer C6231"/>
    <x v="1"/>
    <x v="1"/>
    <x v="1"/>
    <n v="2563.54"/>
    <x v="1"/>
    <n v="2025"/>
    <s v="High Sales"/>
  </r>
  <r>
    <s v="C7704"/>
    <x v="2"/>
    <d v="2023-06-25T00:00:00"/>
    <n v="5"/>
    <n v="634.51"/>
    <s v="Customer C7704"/>
    <x v="0"/>
    <x v="2"/>
    <x v="2"/>
    <n v="3172.55"/>
    <x v="1"/>
    <n v="2023"/>
    <s v="High Sales"/>
  </r>
  <r>
    <s v="C2923"/>
    <x v="3"/>
    <d v="2023-09-30T00:00:00"/>
    <n v="3"/>
    <n v="508.63"/>
    <s v="Customer C2923"/>
    <x v="0"/>
    <x v="3"/>
    <x v="0"/>
    <n v="1525.89"/>
    <x v="2"/>
    <n v="2023"/>
    <s v="Low Sales"/>
  </r>
  <r>
    <s v="C4847"/>
    <x v="4"/>
    <d v="2023-04-03T00:00:00"/>
    <n v="4"/>
    <n v="452.06"/>
    <s v="Customer C4847"/>
    <x v="1"/>
    <x v="2"/>
    <x v="3"/>
    <n v="1808.24"/>
    <x v="3"/>
    <n v="2023"/>
    <s v="Low Sales"/>
  </r>
  <r>
    <s v="C7317"/>
    <x v="2"/>
    <d v="2023-04-11T00:00:00"/>
    <n v="3"/>
    <n v="209.79"/>
    <s v="Customer C7317"/>
    <x v="0"/>
    <x v="3"/>
    <x v="0"/>
    <n v="629.37"/>
    <x v="3"/>
    <n v="2023"/>
    <s v="Low Sales"/>
  </r>
  <r>
    <s v="C5076"/>
    <x v="5"/>
    <d v="2024-06-19T00:00:00"/>
    <n v="3"/>
    <n v="88.74"/>
    <s v="Customer C5076"/>
    <x v="0"/>
    <x v="1"/>
    <x v="1"/>
    <n v="266.22000000000003"/>
    <x v="1"/>
    <n v="2024"/>
    <s v="Low Sales"/>
  </r>
  <r>
    <s v="C5181"/>
    <x v="2"/>
    <d v="2023-08-16T00:00:00"/>
    <n v="8"/>
    <n v="273.92"/>
    <s v="Customer C5181"/>
    <x v="2"/>
    <x v="2"/>
    <x v="3"/>
    <n v="2191.36"/>
    <x v="4"/>
    <n v="2023"/>
    <s v="High Sales"/>
  </r>
  <r>
    <s v="C9564"/>
    <x v="4"/>
    <d v="2023-02-11T00:00:00"/>
    <n v="6"/>
    <n v="718.79"/>
    <s v="Customer C9564"/>
    <x v="1"/>
    <x v="3"/>
    <x v="1"/>
    <n v="4312.74"/>
    <x v="5"/>
    <n v="2023"/>
    <s v="High Sales"/>
  </r>
  <r>
    <s v="C7521"/>
    <x v="6"/>
    <d v="2025-06-14T00:00:00"/>
    <n v="7"/>
    <n v="100.37"/>
    <s v="Customer C7521"/>
    <x v="0"/>
    <x v="1"/>
    <x v="2"/>
    <n v="702.59"/>
    <x v="1"/>
    <n v="2025"/>
    <s v="Low Sales"/>
  </r>
  <r>
    <s v="C7713"/>
    <x v="5"/>
    <d v="2023-09-24T00:00:00"/>
    <n v="2"/>
    <n v="453.05"/>
    <s v="Customer C7713"/>
    <x v="1"/>
    <x v="2"/>
    <x v="2"/>
    <n v="906.1"/>
    <x v="2"/>
    <n v="2023"/>
    <s v="Low Sales"/>
  </r>
  <r>
    <s v="C3269"/>
    <x v="5"/>
    <d v="2025-04-25T00:00:00"/>
    <n v="7"/>
    <n v="528.22"/>
    <s v="Customer C3269"/>
    <x v="2"/>
    <x v="1"/>
    <x v="2"/>
    <n v="3697.54"/>
    <x v="3"/>
    <n v="2025"/>
    <s v="High Sales"/>
  </r>
  <r>
    <s v="C7058"/>
    <x v="1"/>
    <d v="2024-09-28T00:00:00"/>
    <n v="1"/>
    <n v="539.66999999999996"/>
    <s v="Customer C7058"/>
    <x v="2"/>
    <x v="0"/>
    <x v="1"/>
    <n v="539.66999999999996"/>
    <x v="2"/>
    <n v="2024"/>
    <s v="Low Sales"/>
  </r>
  <r>
    <s v="C8718"/>
    <x v="0"/>
    <d v="2025-01-26T00:00:00"/>
    <n v="2"/>
    <n v="797.46"/>
    <s v="Customer C8718"/>
    <x v="1"/>
    <x v="2"/>
    <x v="1"/>
    <n v="1594.92"/>
    <x v="6"/>
    <n v="2025"/>
    <s v="Low Sales"/>
  </r>
  <r>
    <s v="C2966"/>
    <x v="0"/>
    <d v="2023-11-16T00:00:00"/>
    <n v="8"/>
    <n v="283.94"/>
    <s v="Customer C2966"/>
    <x v="1"/>
    <x v="0"/>
    <x v="0"/>
    <n v="2271.52"/>
    <x v="7"/>
    <n v="2023"/>
    <s v="High Sales"/>
  </r>
  <r>
    <s v="C7436"/>
    <x v="1"/>
    <d v="2024-11-20T00:00:00"/>
    <n v="8"/>
    <n v="569.55999999999995"/>
    <s v="Customer C7436"/>
    <x v="1"/>
    <x v="1"/>
    <x v="4"/>
    <n v="4556.4799999999996"/>
    <x v="7"/>
    <n v="2024"/>
    <s v="High Sales"/>
  </r>
  <r>
    <s v="C8827"/>
    <x v="0"/>
    <d v="2023-09-06T00:00:00"/>
    <n v="5"/>
    <n v="467.51"/>
    <s v="Customer C8827"/>
    <x v="2"/>
    <x v="4"/>
    <x v="3"/>
    <n v="2337.5500000000002"/>
    <x v="2"/>
    <n v="2023"/>
    <s v="High Sales"/>
  </r>
  <r>
    <s v="C1067"/>
    <x v="4"/>
    <d v="2024-12-01T00:00:00"/>
    <n v="5"/>
    <n v="600.51"/>
    <s v="Customer C1067"/>
    <x v="1"/>
    <x v="1"/>
    <x v="2"/>
    <n v="3002.55"/>
    <x v="8"/>
    <n v="2024"/>
    <s v="High Sales"/>
  </r>
  <r>
    <s v="C3719"/>
    <x v="6"/>
    <d v="2024-10-12T00:00:00"/>
    <n v="7"/>
    <n v="6.92"/>
    <s v="Customer C3719"/>
    <x v="0"/>
    <x v="3"/>
    <x v="4"/>
    <n v="48.44"/>
    <x v="9"/>
    <n v="2024"/>
    <s v="Low Sales"/>
  </r>
  <r>
    <s v="C8138"/>
    <x v="4"/>
    <d v="2023-09-29T00:00:00"/>
    <n v="3"/>
    <n v="194.81"/>
    <s v="Customer C8138"/>
    <x v="2"/>
    <x v="0"/>
    <x v="4"/>
    <n v="584.43000000000006"/>
    <x v="2"/>
    <n v="2023"/>
    <s v="Low Sales"/>
  </r>
  <r>
    <s v="C7824"/>
    <x v="2"/>
    <d v="2024-06-15T00:00:00"/>
    <n v="2"/>
    <n v="559.15"/>
    <s v="Customer C7824"/>
    <x v="0"/>
    <x v="4"/>
    <x v="0"/>
    <n v="1118.3"/>
    <x v="1"/>
    <n v="2024"/>
    <s v="Low Sales"/>
  </r>
  <r>
    <s v="C4856"/>
    <x v="5"/>
    <d v="2024-10-09T00:00:00"/>
    <n v="3"/>
    <n v="224.5"/>
    <s v="Customer C4856"/>
    <x v="2"/>
    <x v="1"/>
    <x v="4"/>
    <n v="673.5"/>
    <x v="9"/>
    <n v="2024"/>
    <s v="Low Sales"/>
  </r>
  <r>
    <s v="C4788"/>
    <x v="2"/>
    <d v="2024-01-03T00:00:00"/>
    <n v="2"/>
    <n v="749.32"/>
    <s v="Customer C4788"/>
    <x v="2"/>
    <x v="2"/>
    <x v="1"/>
    <n v="1498.64"/>
    <x v="6"/>
    <n v="2024"/>
    <s v="Low Sales"/>
  </r>
  <r>
    <s v="C4679"/>
    <x v="1"/>
    <d v="2024-06-11T00:00:00"/>
    <n v="2"/>
    <n v="492.58"/>
    <s v="Customer C4679"/>
    <x v="2"/>
    <x v="0"/>
    <x v="4"/>
    <n v="985.16"/>
    <x v="1"/>
    <n v="2024"/>
    <s v="Low Sales"/>
  </r>
  <r>
    <s v="C7284"/>
    <x v="3"/>
    <d v="2024-08-22T00:00:00"/>
    <n v="2"/>
    <n v="148.12"/>
    <s v="Customer C7284"/>
    <x v="2"/>
    <x v="1"/>
    <x v="4"/>
    <n v="296.24"/>
    <x v="4"/>
    <n v="2024"/>
    <s v="Low Sales"/>
  </r>
  <r>
    <s v="C2387"/>
    <x v="1"/>
    <d v="2024-08-18T00:00:00"/>
    <n v="7"/>
    <n v="705.72"/>
    <s v="Customer C2387"/>
    <x v="2"/>
    <x v="2"/>
    <x v="2"/>
    <n v="4940.04"/>
    <x v="4"/>
    <n v="2024"/>
    <s v="High Sales"/>
  </r>
  <r>
    <s v="C1661"/>
    <x v="6"/>
    <d v="2023-12-29T00:00:00"/>
    <n v="1"/>
    <n v="157.44999999999999"/>
    <s v="Customer C1661"/>
    <x v="2"/>
    <x v="3"/>
    <x v="3"/>
    <n v="157.44999999999999"/>
    <x v="8"/>
    <n v="2023"/>
    <s v="Low Sales"/>
  </r>
  <r>
    <s v="C7692"/>
    <x v="1"/>
    <d v="2025-02-09T00:00:00"/>
    <n v="2"/>
    <n v="584.04999999999995"/>
    <s v="Customer C7692"/>
    <x v="0"/>
    <x v="2"/>
    <x v="2"/>
    <n v="1168.0999999999999"/>
    <x v="5"/>
    <n v="2025"/>
    <s v="Low Sales"/>
  </r>
  <r>
    <s v="C7789"/>
    <x v="0"/>
    <d v="2024-10-24T00:00:00"/>
    <n v="8"/>
    <n v="267.56"/>
    <s v="Customer C7789"/>
    <x v="0"/>
    <x v="1"/>
    <x v="3"/>
    <n v="2140.48"/>
    <x v="9"/>
    <n v="2024"/>
    <s v="High Sales"/>
  </r>
  <r>
    <s v="C7793"/>
    <x v="4"/>
    <d v="2024-09-13T00:00:00"/>
    <n v="2"/>
    <n v="756.45"/>
    <s v="Customer C7793"/>
    <x v="2"/>
    <x v="2"/>
    <x v="3"/>
    <n v="1512.9"/>
    <x v="2"/>
    <n v="2024"/>
    <s v="Low Sales"/>
  </r>
  <r>
    <s v="C3454"/>
    <x v="0"/>
    <d v="2023-05-18T00:00:00"/>
    <n v="2"/>
    <n v="121.84"/>
    <s v="Customer C3454"/>
    <x v="0"/>
    <x v="1"/>
    <x v="0"/>
    <n v="243.68"/>
    <x v="10"/>
    <n v="2023"/>
    <s v="Low Sales"/>
  </r>
  <r>
    <s v="C5278"/>
    <x v="0"/>
    <d v="2025-01-03T00:00:00"/>
    <n v="2"/>
    <n v="219.1"/>
    <s v="Customer C5278"/>
    <x v="0"/>
    <x v="0"/>
    <x v="4"/>
    <n v="438.2"/>
    <x v="6"/>
    <n v="2025"/>
    <s v="Low Sales"/>
  </r>
  <r>
    <s v="C3802"/>
    <x v="2"/>
    <d v="2023-07-28T00:00:00"/>
    <n v="4"/>
    <n v="322.31"/>
    <s v="Customer C3802"/>
    <x v="1"/>
    <x v="1"/>
    <x v="1"/>
    <n v="1289.24"/>
    <x v="11"/>
    <n v="2023"/>
    <s v="Low Sales"/>
  </r>
  <r>
    <s v="C7470"/>
    <x v="1"/>
    <d v="2023-03-22T00:00:00"/>
    <n v="3"/>
    <n v="477.77"/>
    <s v="Customer C7470"/>
    <x v="2"/>
    <x v="0"/>
    <x v="0"/>
    <n v="1433.31"/>
    <x v="0"/>
    <n v="2023"/>
    <s v="Low Sales"/>
  </r>
  <r>
    <s v="C5254"/>
    <x v="4"/>
    <d v="2023-10-29T00:00:00"/>
    <n v="1"/>
    <n v="45.88"/>
    <s v="Customer C5254"/>
    <x v="0"/>
    <x v="2"/>
    <x v="2"/>
    <n v="45.88"/>
    <x v="9"/>
    <n v="2023"/>
    <s v="Low Sales"/>
  </r>
  <r>
    <s v="C7480"/>
    <x v="3"/>
    <d v="2024-03-21T00:00:00"/>
    <n v="3"/>
    <n v="185.15"/>
    <s v="Customer C7480"/>
    <x v="0"/>
    <x v="0"/>
    <x v="0"/>
    <n v="555.45000000000005"/>
    <x v="0"/>
    <n v="2024"/>
    <s v="Low Sales"/>
  </r>
  <r>
    <s v="C3130"/>
    <x v="1"/>
    <d v="2023-03-15T00:00:00"/>
    <n v="3"/>
    <n v="562.1"/>
    <s v="Customer C3130"/>
    <x v="0"/>
    <x v="3"/>
    <x v="0"/>
    <n v="1686.3"/>
    <x v="0"/>
    <n v="2023"/>
    <s v="Low Sales"/>
  </r>
  <r>
    <s v="C3032"/>
    <x v="1"/>
    <d v="2025-02-21T00:00:00"/>
    <n v="3"/>
    <n v="142.41"/>
    <s v="Customer C3032"/>
    <x v="0"/>
    <x v="3"/>
    <x v="0"/>
    <n v="427.23"/>
    <x v="5"/>
    <n v="2025"/>
    <s v="Low Sales"/>
  </r>
  <r>
    <s v="C4007"/>
    <x v="1"/>
    <d v="2023-01-03T00:00:00"/>
    <n v="7"/>
    <n v="422.55"/>
    <s v="Customer C4007"/>
    <x v="2"/>
    <x v="0"/>
    <x v="0"/>
    <n v="2957.85"/>
    <x v="6"/>
    <n v="2023"/>
    <s v="High Sales"/>
  </r>
  <r>
    <s v="C9078"/>
    <x v="4"/>
    <d v="2024-02-01T00:00:00"/>
    <n v="4"/>
    <n v="442.91"/>
    <s v="Customer C9078"/>
    <x v="2"/>
    <x v="2"/>
    <x v="4"/>
    <n v="1771.64"/>
    <x v="5"/>
    <n v="2024"/>
    <s v="Low Sales"/>
  </r>
  <r>
    <s v="C6015"/>
    <x v="1"/>
    <d v="2024-08-18T00:00:00"/>
    <n v="8"/>
    <n v="35"/>
    <s v="Customer C6015"/>
    <x v="1"/>
    <x v="2"/>
    <x v="2"/>
    <n v="280"/>
    <x v="4"/>
    <n v="2024"/>
    <s v="Low Sales"/>
  </r>
  <r>
    <s v="C6157"/>
    <x v="6"/>
    <d v="2024-12-06T00:00:00"/>
    <n v="5"/>
    <n v="242.27"/>
    <s v="Customer C6157"/>
    <x v="1"/>
    <x v="0"/>
    <x v="4"/>
    <n v="1211.3499999999999"/>
    <x v="8"/>
    <n v="2024"/>
    <s v="Low Sales"/>
  </r>
  <r>
    <s v="C3763"/>
    <x v="1"/>
    <d v="2023-03-27T00:00:00"/>
    <n v="6"/>
    <n v="354.48"/>
    <s v="Customer C3763"/>
    <x v="0"/>
    <x v="3"/>
    <x v="4"/>
    <n v="2126.88"/>
    <x v="0"/>
    <n v="2023"/>
    <s v="High Sales"/>
  </r>
  <r>
    <s v="C8736"/>
    <x v="6"/>
    <d v="2024-11-24T00:00:00"/>
    <n v="8"/>
    <n v="268.22000000000003"/>
    <s v="Customer C8736"/>
    <x v="0"/>
    <x v="1"/>
    <x v="3"/>
    <n v="2145.7600000000002"/>
    <x v="7"/>
    <n v="2024"/>
    <s v="High Sales"/>
  </r>
  <r>
    <s v="C5592"/>
    <x v="1"/>
    <d v="2024-04-30T00:00:00"/>
    <n v="2"/>
    <n v="208.61"/>
    <s v="Customer C5592"/>
    <x v="1"/>
    <x v="0"/>
    <x v="3"/>
    <n v="417.22"/>
    <x v="3"/>
    <n v="2024"/>
    <s v="Low Sales"/>
  </r>
  <r>
    <s v="C3280"/>
    <x v="6"/>
    <d v="2023-03-12T00:00:00"/>
    <n v="4"/>
    <n v="108.63"/>
    <s v="Customer C3280"/>
    <x v="0"/>
    <x v="3"/>
    <x v="1"/>
    <n v="434.52"/>
    <x v="0"/>
    <n v="2023"/>
    <s v="Low Sales"/>
  </r>
  <r>
    <s v="C5151"/>
    <x v="4"/>
    <d v="2024-08-10T00:00:00"/>
    <n v="8"/>
    <n v="164.45"/>
    <s v="Customer C5151"/>
    <x v="1"/>
    <x v="2"/>
    <x v="3"/>
    <n v="1315.6"/>
    <x v="4"/>
    <n v="2024"/>
    <s v="Low Sales"/>
  </r>
  <r>
    <s v="C6267"/>
    <x v="5"/>
    <d v="2025-04-05T00:00:00"/>
    <n v="8"/>
    <n v="207.35"/>
    <s v="Customer C6267"/>
    <x v="0"/>
    <x v="2"/>
    <x v="4"/>
    <n v="1658.8"/>
    <x v="3"/>
    <n v="2025"/>
    <s v="Low Sales"/>
  </r>
  <r>
    <s v="C9907"/>
    <x v="5"/>
    <d v="2025-06-20T00:00:00"/>
    <n v="5"/>
    <n v="223.34"/>
    <s v="Customer C9907"/>
    <x v="1"/>
    <x v="4"/>
    <x v="3"/>
    <n v="1116.7"/>
    <x v="1"/>
    <n v="2025"/>
    <s v="Low Sales"/>
  </r>
  <r>
    <s v="C1813"/>
    <x v="1"/>
    <d v="2023-03-19T00:00:00"/>
    <n v="8"/>
    <n v="193.52"/>
    <s v="Customer C1813"/>
    <x v="2"/>
    <x v="0"/>
    <x v="2"/>
    <n v="1548.16"/>
    <x v="0"/>
    <n v="2023"/>
    <s v="Low Sales"/>
  </r>
  <r>
    <s v="C8036"/>
    <x v="5"/>
    <d v="2023-12-19T00:00:00"/>
    <n v="8"/>
    <n v="446.4"/>
    <s v="Customer C8036"/>
    <x v="1"/>
    <x v="2"/>
    <x v="1"/>
    <n v="3571.2"/>
    <x v="8"/>
    <n v="2023"/>
    <s v="High Sales"/>
  </r>
  <r>
    <s v="C4434"/>
    <x v="3"/>
    <d v="2023-02-14T00:00:00"/>
    <n v="4"/>
    <n v="77.48"/>
    <s v="Customer C4434"/>
    <x v="0"/>
    <x v="0"/>
    <x v="3"/>
    <n v="309.92"/>
    <x v="5"/>
    <n v="2023"/>
    <s v="Low Sales"/>
  </r>
  <r>
    <s v="C3557"/>
    <x v="5"/>
    <d v="2025-03-08T00:00:00"/>
    <n v="7"/>
    <n v="283.8"/>
    <s v="Customer C3557"/>
    <x v="2"/>
    <x v="2"/>
    <x v="4"/>
    <n v="1986.6"/>
    <x v="0"/>
    <n v="2025"/>
    <s v="Low Sales"/>
  </r>
  <r>
    <s v="C4213"/>
    <x v="5"/>
    <d v="2023-09-02T00:00:00"/>
    <n v="5"/>
    <n v="696.64"/>
    <s v="Customer C4213"/>
    <x v="1"/>
    <x v="3"/>
    <x v="0"/>
    <n v="3483.2"/>
    <x v="2"/>
    <n v="2023"/>
    <s v="High Sales"/>
  </r>
  <r>
    <s v="C7988"/>
    <x v="6"/>
    <d v="2024-04-16T00:00:00"/>
    <n v="4"/>
    <n v="102.51"/>
    <s v="Customer C7988"/>
    <x v="1"/>
    <x v="4"/>
    <x v="2"/>
    <n v="410.04"/>
    <x v="3"/>
    <n v="2024"/>
    <s v="Low Sales"/>
  </r>
  <r>
    <s v="C2295"/>
    <x v="3"/>
    <d v="2023-06-17T00:00:00"/>
    <n v="5"/>
    <n v="532.44000000000005"/>
    <s v="Customer C2295"/>
    <x v="0"/>
    <x v="3"/>
    <x v="0"/>
    <n v="2662.2"/>
    <x v="1"/>
    <n v="2023"/>
    <s v="High Sales"/>
  </r>
  <r>
    <s v="C2463"/>
    <x v="3"/>
    <d v="2024-07-20T00:00:00"/>
    <n v="1"/>
    <n v="551.09"/>
    <s v="Customer C2463"/>
    <x v="1"/>
    <x v="0"/>
    <x v="4"/>
    <n v="551.09"/>
    <x v="11"/>
    <n v="2024"/>
    <s v="Low Sales"/>
  </r>
  <r>
    <s v="C6671"/>
    <x v="3"/>
    <d v="2023-05-16T00:00:00"/>
    <n v="6"/>
    <n v="431.45"/>
    <s v="Customer C6671"/>
    <x v="2"/>
    <x v="1"/>
    <x v="4"/>
    <n v="2588.6999999999998"/>
    <x v="10"/>
    <n v="2023"/>
    <s v="High Sales"/>
  </r>
  <r>
    <s v="C3039"/>
    <x v="3"/>
    <d v="2023-02-04T00:00:00"/>
    <n v="6"/>
    <n v="733.87"/>
    <s v="Customer C3039"/>
    <x v="2"/>
    <x v="4"/>
    <x v="4"/>
    <n v="4403.22"/>
    <x v="5"/>
    <n v="2023"/>
    <s v="High Sales"/>
  </r>
  <r>
    <s v="C1184"/>
    <x v="3"/>
    <d v="2024-09-27T00:00:00"/>
    <n v="5"/>
    <n v="275.86"/>
    <s v="Customer C1184"/>
    <x v="0"/>
    <x v="2"/>
    <x v="4"/>
    <n v="1379.3"/>
    <x v="2"/>
    <n v="2024"/>
    <s v="Low Sales"/>
  </r>
  <r>
    <s v="C1509"/>
    <x v="6"/>
    <d v="2024-06-05T00:00:00"/>
    <n v="8"/>
    <n v="310.69"/>
    <s v="Customer C1509"/>
    <x v="2"/>
    <x v="1"/>
    <x v="0"/>
    <n v="2485.52"/>
    <x v="1"/>
    <n v="2024"/>
    <s v="High Sales"/>
  </r>
  <r>
    <s v="C8097"/>
    <x v="6"/>
    <d v="2025-06-23T00:00:00"/>
    <n v="6"/>
    <n v="755.15"/>
    <s v="Customer C8097"/>
    <x v="0"/>
    <x v="2"/>
    <x v="1"/>
    <n v="4530.8999999999996"/>
    <x v="1"/>
    <n v="2025"/>
    <s v="High Sales"/>
  </r>
  <r>
    <s v="C3739"/>
    <x v="3"/>
    <d v="2023-01-15T00:00:00"/>
    <n v="7"/>
    <n v="714.61"/>
    <s v="Customer C3739"/>
    <x v="1"/>
    <x v="1"/>
    <x v="3"/>
    <n v="5002.2700000000004"/>
    <x v="6"/>
    <n v="2023"/>
    <s v="High Sales"/>
  </r>
  <r>
    <s v="C7466"/>
    <x v="2"/>
    <d v="2023-10-03T00:00:00"/>
    <n v="7"/>
    <n v="518"/>
    <s v="Customer C7466"/>
    <x v="0"/>
    <x v="2"/>
    <x v="3"/>
    <n v="3626"/>
    <x v="9"/>
    <n v="2023"/>
    <s v="High Sales"/>
  </r>
  <r>
    <s v="C8446"/>
    <x v="4"/>
    <d v="2023-03-06T00:00:00"/>
    <n v="4"/>
    <n v="137.51"/>
    <s v="Customer C8446"/>
    <x v="1"/>
    <x v="0"/>
    <x v="2"/>
    <n v="550.04"/>
    <x v="0"/>
    <n v="2023"/>
    <s v="Low Sales"/>
  </r>
  <r>
    <s v="C5448"/>
    <x v="1"/>
    <d v="2024-05-30T00:00:00"/>
    <n v="3"/>
    <n v="532.46"/>
    <s v="Customer C5448"/>
    <x v="0"/>
    <x v="3"/>
    <x v="0"/>
    <n v="1597.38"/>
    <x v="10"/>
    <n v="2024"/>
    <s v="Low Sales"/>
  </r>
  <r>
    <s v="C9577"/>
    <x v="5"/>
    <d v="2024-11-19T00:00:00"/>
    <n v="4"/>
    <n v="180.72"/>
    <s v="Customer C9577"/>
    <x v="0"/>
    <x v="4"/>
    <x v="3"/>
    <n v="722.88"/>
    <x v="7"/>
    <n v="2024"/>
    <s v="Low Sales"/>
  </r>
  <r>
    <s v="C2330"/>
    <x v="4"/>
    <d v="2023-03-28T00:00:00"/>
    <n v="1"/>
    <n v="724.47"/>
    <s v="Customer C2330"/>
    <x v="0"/>
    <x v="0"/>
    <x v="4"/>
    <n v="724.47"/>
    <x v="0"/>
    <n v="2023"/>
    <s v="Low Sales"/>
  </r>
  <r>
    <s v="C4020"/>
    <x v="2"/>
    <d v="2023-06-29T00:00:00"/>
    <n v="1"/>
    <n v="324.92"/>
    <s v="Customer C4020"/>
    <x v="2"/>
    <x v="1"/>
    <x v="1"/>
    <n v="324.92"/>
    <x v="1"/>
    <n v="2023"/>
    <s v="Low Sales"/>
  </r>
  <r>
    <s v="C9075"/>
    <x v="5"/>
    <d v="2025-03-28T00:00:00"/>
    <n v="8"/>
    <n v="73.739999999999995"/>
    <s v="Customer C9075"/>
    <x v="1"/>
    <x v="1"/>
    <x v="0"/>
    <n v="589.91999999999996"/>
    <x v="0"/>
    <n v="2025"/>
    <s v="Low Sales"/>
  </r>
  <r>
    <s v="C6286"/>
    <x v="4"/>
    <d v="2025-05-02T00:00:00"/>
    <n v="6"/>
    <n v="428.89"/>
    <s v="Customer C6286"/>
    <x v="2"/>
    <x v="3"/>
    <x v="2"/>
    <n v="2573.34"/>
    <x v="10"/>
    <n v="2025"/>
    <s v="High Sales"/>
  </r>
  <r>
    <s v="C7102"/>
    <x v="2"/>
    <d v="2024-02-22T00:00:00"/>
    <n v="3"/>
    <n v="239.55"/>
    <s v="Customer C7102"/>
    <x v="2"/>
    <x v="0"/>
    <x v="2"/>
    <n v="718.65000000000009"/>
    <x v="5"/>
    <n v="2024"/>
    <s v="Low Sales"/>
  </r>
  <r>
    <s v="C9618"/>
    <x v="4"/>
    <d v="2025-03-02T00:00:00"/>
    <n v="5"/>
    <n v="780.03"/>
    <s v="Customer C9618"/>
    <x v="2"/>
    <x v="2"/>
    <x v="3"/>
    <n v="3900.15"/>
    <x v="0"/>
    <n v="2025"/>
    <s v="High Sales"/>
  </r>
  <r>
    <s v="C1353"/>
    <x v="3"/>
    <d v="2024-09-06T00:00:00"/>
    <n v="2"/>
    <n v="778.43"/>
    <s v="Customer C1353"/>
    <x v="2"/>
    <x v="3"/>
    <x v="2"/>
    <n v="1556.86"/>
    <x v="2"/>
    <n v="2024"/>
    <s v="Low Sales"/>
  </r>
  <r>
    <s v="C5180"/>
    <x v="4"/>
    <d v="2024-12-29T00:00:00"/>
    <n v="3"/>
    <n v="512.36"/>
    <s v="Customer C5180"/>
    <x v="2"/>
    <x v="4"/>
    <x v="4"/>
    <n v="1537.08"/>
    <x v="8"/>
    <n v="2024"/>
    <s v="Low Sales"/>
  </r>
  <r>
    <s v="C1452"/>
    <x v="6"/>
    <d v="2023-06-30T00:00:00"/>
    <n v="2"/>
    <n v="235.11"/>
    <s v="Customer C1452"/>
    <x v="2"/>
    <x v="1"/>
    <x v="0"/>
    <n v="470.22"/>
    <x v="1"/>
    <n v="2023"/>
    <s v="Low Sales"/>
  </r>
  <r>
    <s v="C5649"/>
    <x v="0"/>
    <d v="2024-06-06T00:00:00"/>
    <n v="2"/>
    <n v="406.09"/>
    <s v="Customer C5649"/>
    <x v="1"/>
    <x v="1"/>
    <x v="4"/>
    <n v="812.18"/>
    <x v="1"/>
    <n v="2024"/>
    <s v="Low Sales"/>
  </r>
  <r>
    <s v="C4229"/>
    <x v="6"/>
    <d v="2025-04-09T00:00:00"/>
    <n v="8"/>
    <n v="23.72"/>
    <s v="Customer C4229"/>
    <x v="1"/>
    <x v="1"/>
    <x v="4"/>
    <n v="189.76"/>
    <x v="3"/>
    <n v="2025"/>
    <s v="Low Sales"/>
  </r>
  <r>
    <s v="C4760"/>
    <x v="0"/>
    <d v="2024-02-25T00:00:00"/>
    <n v="1"/>
    <n v="566.54"/>
    <s v="Customer C4760"/>
    <x v="0"/>
    <x v="4"/>
    <x v="3"/>
    <n v="566.54"/>
    <x v="5"/>
    <n v="2024"/>
    <s v="Low Sales"/>
  </r>
  <r>
    <s v="C3716"/>
    <x v="1"/>
    <d v="2025-02-13T00:00:00"/>
    <n v="1"/>
    <n v="286.54000000000002"/>
    <s v="Customer C3716"/>
    <x v="2"/>
    <x v="3"/>
    <x v="2"/>
    <n v="286.54000000000002"/>
    <x v="5"/>
    <n v="2025"/>
    <s v="Low Sales"/>
  </r>
  <r>
    <s v="C3704"/>
    <x v="5"/>
    <d v="2023-08-21T00:00:00"/>
    <n v="5"/>
    <n v="452.08"/>
    <s v="Customer C3704"/>
    <x v="0"/>
    <x v="4"/>
    <x v="3"/>
    <n v="2260.4"/>
    <x v="4"/>
    <n v="2023"/>
    <s v="High Sales"/>
  </r>
  <r>
    <s v="C4946"/>
    <x v="1"/>
    <d v="2025-01-13T00:00:00"/>
    <n v="1"/>
    <n v="471.49"/>
    <s v="Customer C4946"/>
    <x v="0"/>
    <x v="1"/>
    <x v="3"/>
    <n v="471.49"/>
    <x v="6"/>
    <n v="2025"/>
    <s v="Low Sales"/>
  </r>
  <r>
    <s v="C1241"/>
    <x v="4"/>
    <d v="2025-05-24T00:00:00"/>
    <n v="1"/>
    <n v="362.07"/>
    <s v="Customer C1241"/>
    <x v="1"/>
    <x v="1"/>
    <x v="2"/>
    <n v="362.07"/>
    <x v="10"/>
    <n v="2025"/>
    <s v="Low Sales"/>
  </r>
  <r>
    <s v="C1895"/>
    <x v="0"/>
    <d v="2023-05-11T00:00:00"/>
    <n v="6"/>
    <n v="769.43"/>
    <s v="Customer C1895"/>
    <x v="0"/>
    <x v="4"/>
    <x v="3"/>
    <n v="4616.58"/>
    <x v="10"/>
    <n v="2023"/>
    <s v="High Sales"/>
  </r>
  <r>
    <s v="C5586"/>
    <x v="3"/>
    <d v="2023-04-21T00:00:00"/>
    <n v="3"/>
    <n v="379.63"/>
    <s v="Customer C5586"/>
    <x v="0"/>
    <x v="0"/>
    <x v="2"/>
    <n v="1138.8900000000001"/>
    <x v="3"/>
    <n v="2023"/>
    <s v="Low Sales"/>
  </r>
  <r>
    <s v="C3244"/>
    <x v="6"/>
    <d v="2024-05-27T00:00:00"/>
    <n v="2"/>
    <n v="322.94"/>
    <s v="Customer C3244"/>
    <x v="2"/>
    <x v="1"/>
    <x v="1"/>
    <n v="645.88"/>
    <x v="10"/>
    <n v="2024"/>
    <s v="Low Sales"/>
  </r>
  <r>
    <s v="C9710"/>
    <x v="1"/>
    <d v="2023-08-06T00:00:00"/>
    <n v="6"/>
    <n v="729.68"/>
    <s v="Customer C9710"/>
    <x v="2"/>
    <x v="3"/>
    <x v="2"/>
    <n v="4378.08"/>
    <x v="4"/>
    <n v="2023"/>
    <s v="High Sales"/>
  </r>
  <r>
    <s v="C6777"/>
    <x v="3"/>
    <d v="2024-11-04T00:00:00"/>
    <n v="1"/>
    <n v="693.07"/>
    <s v="Customer C6777"/>
    <x v="1"/>
    <x v="4"/>
    <x v="1"/>
    <n v="693.07"/>
    <x v="7"/>
    <n v="2024"/>
    <s v="Low Sales"/>
  </r>
  <r>
    <s v="C1583"/>
    <x v="3"/>
    <d v="2024-02-22T00:00:00"/>
    <n v="6"/>
    <n v="657.93"/>
    <s v="Customer C1583"/>
    <x v="2"/>
    <x v="0"/>
    <x v="3"/>
    <n v="3947.58"/>
    <x v="5"/>
    <n v="2024"/>
    <s v="High Sales"/>
  </r>
  <r>
    <s v="C3940"/>
    <x v="6"/>
    <d v="2024-12-10T00:00:00"/>
    <n v="2"/>
    <n v="656.86"/>
    <s v="Customer C3940"/>
    <x v="1"/>
    <x v="4"/>
    <x v="4"/>
    <n v="1313.72"/>
    <x v="8"/>
    <n v="2024"/>
    <s v="Low Sales"/>
  </r>
  <r>
    <s v="C7824"/>
    <x v="1"/>
    <d v="2025-05-20T00:00:00"/>
    <n v="6"/>
    <n v="286.05"/>
    <s v="Customer C7824"/>
    <x v="2"/>
    <x v="0"/>
    <x v="1"/>
    <n v="1716.3"/>
    <x v="10"/>
    <n v="2025"/>
    <s v="Low Sales"/>
  </r>
  <r>
    <s v="C4033"/>
    <x v="6"/>
    <d v="2024-06-12T00:00:00"/>
    <n v="7"/>
    <n v="19.66"/>
    <s v="Customer C4033"/>
    <x v="1"/>
    <x v="1"/>
    <x v="4"/>
    <n v="137.62"/>
    <x v="1"/>
    <n v="2024"/>
    <s v="Low Sales"/>
  </r>
  <r>
    <s v="C5271"/>
    <x v="2"/>
    <d v="2023-11-03T00:00:00"/>
    <n v="4"/>
    <n v="43.43"/>
    <s v="Customer C5271"/>
    <x v="1"/>
    <x v="3"/>
    <x v="2"/>
    <n v="173.72"/>
    <x v="7"/>
    <n v="2023"/>
    <s v="Low Sales"/>
  </r>
  <r>
    <s v="C7071"/>
    <x v="6"/>
    <d v="2024-01-03T00:00:00"/>
    <n v="6"/>
    <n v="475.09"/>
    <s v="Customer C7071"/>
    <x v="1"/>
    <x v="0"/>
    <x v="2"/>
    <n v="2850.54"/>
    <x v="6"/>
    <n v="2024"/>
    <s v="High Sales"/>
  </r>
  <r>
    <s v="C2155"/>
    <x v="0"/>
    <d v="2023-10-08T00:00:00"/>
    <n v="3"/>
    <n v="179.24"/>
    <s v="Customer C2155"/>
    <x v="1"/>
    <x v="0"/>
    <x v="3"/>
    <n v="537.72"/>
    <x v="9"/>
    <n v="2023"/>
    <s v="Low Sales"/>
  </r>
  <r>
    <s v="C3770"/>
    <x v="0"/>
    <d v="2024-10-19T00:00:00"/>
    <n v="5"/>
    <n v="628.39"/>
    <s v="Customer C3770"/>
    <x v="2"/>
    <x v="0"/>
    <x v="3"/>
    <n v="3141.95"/>
    <x v="9"/>
    <n v="2024"/>
    <s v="High Sales"/>
  </r>
  <r>
    <s v="C7736"/>
    <x v="5"/>
    <d v="2023-11-01T00:00:00"/>
    <n v="7"/>
    <n v="485.73"/>
    <s v="Customer C7736"/>
    <x v="1"/>
    <x v="3"/>
    <x v="1"/>
    <n v="3400.11"/>
    <x v="7"/>
    <n v="2023"/>
    <s v="High Sales"/>
  </r>
  <r>
    <s v="C7641"/>
    <x v="2"/>
    <d v="2025-04-20T00:00:00"/>
    <n v="6"/>
    <n v="236.38"/>
    <s v="Customer C7641"/>
    <x v="2"/>
    <x v="0"/>
    <x v="2"/>
    <n v="1418.28"/>
    <x v="3"/>
    <n v="2025"/>
    <s v="Low Sales"/>
  </r>
  <r>
    <s v="C2426"/>
    <x v="0"/>
    <d v="2023-04-29T00:00:00"/>
    <n v="8"/>
    <n v="719.65"/>
    <s v="Customer C2426"/>
    <x v="0"/>
    <x v="3"/>
    <x v="4"/>
    <n v="5757.2"/>
    <x v="3"/>
    <n v="2023"/>
    <s v="High Sales"/>
  </r>
  <r>
    <s v="C3756"/>
    <x v="2"/>
    <d v="2023-01-14T00:00:00"/>
    <n v="7"/>
    <n v="768.99"/>
    <s v="Customer C3756"/>
    <x v="2"/>
    <x v="0"/>
    <x v="3"/>
    <n v="5382.93"/>
    <x v="6"/>
    <n v="2023"/>
    <s v="High Sales"/>
  </r>
  <r>
    <s v="C6229"/>
    <x v="3"/>
    <d v="2024-08-03T00:00:00"/>
    <n v="8"/>
    <n v="401.32"/>
    <s v="Customer C6229"/>
    <x v="0"/>
    <x v="4"/>
    <x v="1"/>
    <n v="3210.56"/>
    <x v="4"/>
    <n v="2024"/>
    <s v="High Sales"/>
  </r>
  <r>
    <s v="C5058"/>
    <x v="5"/>
    <d v="2024-01-15T00:00:00"/>
    <n v="8"/>
    <n v="353.5"/>
    <s v="Customer C5058"/>
    <x v="0"/>
    <x v="4"/>
    <x v="3"/>
    <n v="2828"/>
    <x v="6"/>
    <n v="2024"/>
    <s v="High Sales"/>
  </r>
  <r>
    <s v="C5596"/>
    <x v="1"/>
    <d v="2025-02-17T00:00:00"/>
    <n v="3"/>
    <n v="179.52"/>
    <s v="Customer C5596"/>
    <x v="1"/>
    <x v="4"/>
    <x v="3"/>
    <n v="538.56000000000006"/>
    <x v="5"/>
    <n v="2025"/>
    <s v="Low Sales"/>
  </r>
  <r>
    <s v="C9332"/>
    <x v="5"/>
    <d v="2023-02-04T00:00:00"/>
    <n v="4"/>
    <n v="330.14"/>
    <s v="Customer C9332"/>
    <x v="1"/>
    <x v="0"/>
    <x v="2"/>
    <n v="1320.56"/>
    <x v="5"/>
    <n v="2023"/>
    <s v="Low Sales"/>
  </r>
  <r>
    <s v="C7363"/>
    <x v="2"/>
    <d v="2023-11-06T00:00:00"/>
    <n v="2"/>
    <n v="770.06"/>
    <s v="Customer C7363"/>
    <x v="0"/>
    <x v="2"/>
    <x v="4"/>
    <n v="1540.12"/>
    <x v="7"/>
    <n v="2023"/>
    <s v="Low Sales"/>
  </r>
  <r>
    <s v="C9590"/>
    <x v="2"/>
    <d v="2023-03-07T00:00:00"/>
    <n v="6"/>
    <n v="129.85"/>
    <s v="Customer C9590"/>
    <x v="1"/>
    <x v="0"/>
    <x v="0"/>
    <n v="779.09999999999991"/>
    <x v="0"/>
    <n v="2023"/>
    <s v="Low Sales"/>
  </r>
  <r>
    <s v="C8205"/>
    <x v="4"/>
    <d v="2023-11-21T00:00:00"/>
    <n v="3"/>
    <n v="251.56"/>
    <s v="Customer C8205"/>
    <x v="0"/>
    <x v="2"/>
    <x v="3"/>
    <n v="754.68000000000006"/>
    <x v="7"/>
    <n v="2023"/>
    <s v="Low Sales"/>
  </r>
  <r>
    <s v="C1099"/>
    <x v="5"/>
    <d v="2025-04-01T00:00:00"/>
    <n v="6"/>
    <n v="520.01"/>
    <s v="Customer C1099"/>
    <x v="2"/>
    <x v="1"/>
    <x v="3"/>
    <n v="3120.06"/>
    <x v="3"/>
    <n v="2025"/>
    <s v="High Sales"/>
  </r>
  <r>
    <s v="C1617"/>
    <x v="0"/>
    <d v="2024-09-03T00:00:00"/>
    <n v="6"/>
    <n v="117.79"/>
    <s v="Customer C1617"/>
    <x v="1"/>
    <x v="2"/>
    <x v="3"/>
    <n v="706.74"/>
    <x v="2"/>
    <n v="2024"/>
    <s v="Low Sales"/>
  </r>
  <r>
    <s v="C1936"/>
    <x v="1"/>
    <d v="2024-12-20T00:00:00"/>
    <n v="3"/>
    <n v="159.38"/>
    <s v="Customer C1936"/>
    <x v="1"/>
    <x v="4"/>
    <x v="4"/>
    <n v="478.14"/>
    <x v="8"/>
    <n v="2024"/>
    <s v="Low Sales"/>
  </r>
  <r>
    <s v="C8577"/>
    <x v="3"/>
    <d v="2024-04-21T00:00:00"/>
    <n v="3"/>
    <n v="684.11"/>
    <s v="Customer C8577"/>
    <x v="2"/>
    <x v="2"/>
    <x v="4"/>
    <n v="2052.33"/>
    <x v="3"/>
    <n v="2024"/>
    <s v="High Sales"/>
  </r>
  <r>
    <s v="C1708"/>
    <x v="3"/>
    <d v="2023-11-15T00:00:00"/>
    <n v="3"/>
    <n v="242.71"/>
    <s v="Customer C1708"/>
    <x v="1"/>
    <x v="3"/>
    <x v="4"/>
    <n v="728.13"/>
    <x v="7"/>
    <n v="2023"/>
    <s v="Low Sales"/>
  </r>
  <r>
    <s v="C5691"/>
    <x v="3"/>
    <d v="2023-10-08T00:00:00"/>
    <n v="2"/>
    <n v="704.73"/>
    <s v="Customer C5691"/>
    <x v="1"/>
    <x v="2"/>
    <x v="0"/>
    <n v="1409.46"/>
    <x v="9"/>
    <n v="2023"/>
    <s v="Low Sales"/>
  </r>
  <r>
    <s v="C3265"/>
    <x v="4"/>
    <d v="2023-09-25T00:00:00"/>
    <n v="1"/>
    <n v="661.06"/>
    <s v="Customer C3265"/>
    <x v="2"/>
    <x v="1"/>
    <x v="2"/>
    <n v="661.06"/>
    <x v="2"/>
    <n v="2023"/>
    <s v="Low Sales"/>
  </r>
  <r>
    <s v="C7346"/>
    <x v="0"/>
    <d v="2024-09-12T00:00:00"/>
    <n v="2"/>
    <n v="571.9"/>
    <s v="Customer C7346"/>
    <x v="0"/>
    <x v="1"/>
    <x v="3"/>
    <n v="1143.8"/>
    <x v="2"/>
    <n v="2024"/>
    <s v="Low Sales"/>
  </r>
  <r>
    <s v="C4849"/>
    <x v="3"/>
    <d v="2024-10-20T00:00:00"/>
    <n v="1"/>
    <n v="748.55"/>
    <s v="Customer C4849"/>
    <x v="1"/>
    <x v="1"/>
    <x v="2"/>
    <n v="748.55"/>
    <x v="9"/>
    <n v="2024"/>
    <s v="Low Sales"/>
  </r>
  <r>
    <s v="C6609"/>
    <x v="5"/>
    <d v="2024-03-16T00:00:00"/>
    <n v="1"/>
    <n v="463.78"/>
    <s v="Customer C6609"/>
    <x v="2"/>
    <x v="1"/>
    <x v="1"/>
    <n v="463.78"/>
    <x v="0"/>
    <n v="2024"/>
    <s v="Low Sales"/>
  </r>
  <r>
    <s v="C4090"/>
    <x v="5"/>
    <d v="2023-08-11T00:00:00"/>
    <n v="7"/>
    <n v="363.49"/>
    <s v="Customer C4090"/>
    <x v="1"/>
    <x v="2"/>
    <x v="2"/>
    <n v="2544.4299999999998"/>
    <x v="4"/>
    <n v="2023"/>
    <s v="High Sales"/>
  </r>
  <r>
    <s v="C8888"/>
    <x v="3"/>
    <d v="2023-08-25T00:00:00"/>
    <n v="7"/>
    <n v="417.97"/>
    <s v="Customer C8888"/>
    <x v="1"/>
    <x v="3"/>
    <x v="3"/>
    <n v="2925.79"/>
    <x v="4"/>
    <n v="2023"/>
    <s v="High Sales"/>
  </r>
  <r>
    <s v="C2946"/>
    <x v="5"/>
    <d v="2023-03-20T00:00:00"/>
    <n v="2"/>
    <n v="173.91"/>
    <s v="Customer C2946"/>
    <x v="2"/>
    <x v="3"/>
    <x v="3"/>
    <n v="347.82"/>
    <x v="0"/>
    <n v="2023"/>
    <s v="Low Sales"/>
  </r>
  <r>
    <s v="C7113"/>
    <x v="2"/>
    <d v="2023-07-04T00:00:00"/>
    <n v="3"/>
    <n v="765.71"/>
    <s v="Customer C7113"/>
    <x v="1"/>
    <x v="0"/>
    <x v="3"/>
    <n v="2297.13"/>
    <x v="11"/>
    <n v="2023"/>
    <s v="High Sales"/>
  </r>
  <r>
    <s v="C3783"/>
    <x v="0"/>
    <d v="2024-06-27T00:00:00"/>
    <n v="6"/>
    <n v="182.24"/>
    <s v="Customer C3783"/>
    <x v="0"/>
    <x v="3"/>
    <x v="3"/>
    <n v="1093.44"/>
    <x v="1"/>
    <n v="2024"/>
    <s v="Low Sales"/>
  </r>
  <r>
    <s v="C1268"/>
    <x v="2"/>
    <d v="2024-03-26T00:00:00"/>
    <n v="5"/>
    <n v="32.119999999999997"/>
    <s v="Customer C1268"/>
    <x v="1"/>
    <x v="3"/>
    <x v="3"/>
    <n v="160.6"/>
    <x v="0"/>
    <n v="2024"/>
    <s v="Low Sales"/>
  </r>
  <r>
    <s v="C6425"/>
    <x v="6"/>
    <d v="2023-10-31T00:00:00"/>
    <n v="3"/>
    <n v="371.15"/>
    <s v="Customer C6425"/>
    <x v="2"/>
    <x v="0"/>
    <x v="4"/>
    <n v="1113.45"/>
    <x v="9"/>
    <n v="2023"/>
    <s v="Low Sales"/>
  </r>
  <r>
    <s v="C7038"/>
    <x v="1"/>
    <d v="2024-08-22T00:00:00"/>
    <n v="7"/>
    <n v="233.93"/>
    <s v="Customer C7038"/>
    <x v="1"/>
    <x v="0"/>
    <x v="1"/>
    <n v="1637.51"/>
    <x v="4"/>
    <n v="2024"/>
    <s v="Low Sales"/>
  </r>
  <r>
    <s v="C6599"/>
    <x v="4"/>
    <d v="2023-10-23T00:00:00"/>
    <n v="4"/>
    <n v="570.12"/>
    <s v="Customer C6599"/>
    <x v="2"/>
    <x v="1"/>
    <x v="4"/>
    <n v="2280.48"/>
    <x v="9"/>
    <n v="2023"/>
    <s v="High Sales"/>
  </r>
  <r>
    <s v="C6177"/>
    <x v="2"/>
    <d v="2025-04-19T00:00:00"/>
    <n v="3"/>
    <n v="247.99"/>
    <s v="Customer C6177"/>
    <x v="0"/>
    <x v="0"/>
    <x v="4"/>
    <n v="743.97"/>
    <x v="3"/>
    <n v="2025"/>
    <s v="Low Sales"/>
  </r>
  <r>
    <s v="C8133"/>
    <x v="2"/>
    <d v="2025-03-24T00:00:00"/>
    <n v="1"/>
    <n v="304"/>
    <s v="Customer C8133"/>
    <x v="1"/>
    <x v="0"/>
    <x v="1"/>
    <n v="304"/>
    <x v="0"/>
    <n v="2025"/>
    <s v="Low Sales"/>
  </r>
  <r>
    <s v="C8269"/>
    <x v="2"/>
    <d v="2023-06-15T00:00:00"/>
    <n v="7"/>
    <n v="791.31"/>
    <s v="Customer C8269"/>
    <x v="1"/>
    <x v="3"/>
    <x v="3"/>
    <n v="5539.17"/>
    <x v="1"/>
    <n v="2023"/>
    <s v="High Sales"/>
  </r>
  <r>
    <s v="C2652"/>
    <x v="4"/>
    <d v="2024-02-08T00:00:00"/>
    <n v="7"/>
    <n v="122.16"/>
    <s v="Customer C2652"/>
    <x v="0"/>
    <x v="3"/>
    <x v="4"/>
    <n v="855.12"/>
    <x v="5"/>
    <n v="2024"/>
    <s v="Low Sales"/>
  </r>
  <r>
    <s v="C4617"/>
    <x v="3"/>
    <d v="2024-02-16T00:00:00"/>
    <n v="3"/>
    <n v="250.16"/>
    <s v="Customer C4617"/>
    <x v="0"/>
    <x v="1"/>
    <x v="1"/>
    <n v="750.48"/>
    <x v="5"/>
    <n v="2024"/>
    <s v="Low Sales"/>
  </r>
  <r>
    <s v="C9640"/>
    <x v="1"/>
    <d v="2024-09-08T00:00:00"/>
    <n v="6"/>
    <n v="778.27"/>
    <s v="Customer C9640"/>
    <x v="0"/>
    <x v="0"/>
    <x v="4"/>
    <n v="4669.62"/>
    <x v="2"/>
    <n v="2024"/>
    <s v="High Sales"/>
  </r>
  <r>
    <s v="C8863"/>
    <x v="4"/>
    <d v="2024-04-01T00:00:00"/>
    <n v="3"/>
    <n v="146.37"/>
    <s v="Customer C8863"/>
    <x v="0"/>
    <x v="4"/>
    <x v="4"/>
    <n v="439.11"/>
    <x v="3"/>
    <n v="2024"/>
    <s v="Low Sales"/>
  </r>
  <r>
    <s v="C3242"/>
    <x v="3"/>
    <d v="2023-12-16T00:00:00"/>
    <n v="2"/>
    <n v="179.71"/>
    <s v="Customer C3242"/>
    <x v="0"/>
    <x v="4"/>
    <x v="4"/>
    <n v="359.42"/>
    <x v="8"/>
    <n v="2023"/>
    <s v="Low Sales"/>
  </r>
  <r>
    <s v="C3118"/>
    <x v="3"/>
    <d v="2023-06-23T00:00:00"/>
    <n v="7"/>
    <n v="788.9"/>
    <s v="Customer C3118"/>
    <x v="0"/>
    <x v="4"/>
    <x v="3"/>
    <n v="5522.3"/>
    <x v="1"/>
    <n v="2023"/>
    <s v="High Sales"/>
  </r>
  <r>
    <s v="C2847"/>
    <x v="4"/>
    <d v="2023-04-16T00:00:00"/>
    <n v="5"/>
    <n v="653.01"/>
    <s v="Customer C2847"/>
    <x v="2"/>
    <x v="2"/>
    <x v="1"/>
    <n v="3265.05"/>
    <x v="3"/>
    <n v="2023"/>
    <s v="High Sales"/>
  </r>
  <r>
    <s v="C7461"/>
    <x v="3"/>
    <d v="2023-12-26T00:00:00"/>
    <n v="4"/>
    <n v="164.36"/>
    <s v="Customer C7461"/>
    <x v="0"/>
    <x v="0"/>
    <x v="0"/>
    <n v="657.44"/>
    <x v="8"/>
    <n v="2023"/>
    <s v="Low Sales"/>
  </r>
  <r>
    <s v="C4070"/>
    <x v="4"/>
    <d v="2024-11-22T00:00:00"/>
    <n v="3"/>
    <n v="320.64999999999998"/>
    <s v="Customer C4070"/>
    <x v="0"/>
    <x v="4"/>
    <x v="4"/>
    <n v="961.94999999999993"/>
    <x v="7"/>
    <n v="2024"/>
    <s v="Low Sales"/>
  </r>
  <r>
    <s v="C5274"/>
    <x v="1"/>
    <d v="2023-02-05T00:00:00"/>
    <n v="8"/>
    <n v="664.08"/>
    <s v="Customer C5274"/>
    <x v="0"/>
    <x v="3"/>
    <x v="3"/>
    <n v="5312.64"/>
    <x v="5"/>
    <n v="2023"/>
    <s v="High Sales"/>
  </r>
  <r>
    <s v="C9800"/>
    <x v="0"/>
    <d v="2023-02-01T00:00:00"/>
    <n v="3"/>
    <n v="709.1"/>
    <s v="Customer C9800"/>
    <x v="2"/>
    <x v="2"/>
    <x v="2"/>
    <n v="2127.3000000000002"/>
    <x v="5"/>
    <n v="2023"/>
    <s v="High Sales"/>
  </r>
  <r>
    <s v="C5072"/>
    <x v="4"/>
    <d v="2023-06-24T00:00:00"/>
    <n v="2"/>
    <n v="577.4"/>
    <s v="Customer C5072"/>
    <x v="1"/>
    <x v="3"/>
    <x v="2"/>
    <n v="1154.8"/>
    <x v="1"/>
    <n v="2023"/>
    <s v="Low Sales"/>
  </r>
  <r>
    <s v="C6415"/>
    <x v="1"/>
    <d v="2024-07-26T00:00:00"/>
    <n v="4"/>
    <n v="223.88"/>
    <s v="Customer C6415"/>
    <x v="1"/>
    <x v="3"/>
    <x v="3"/>
    <n v="895.52"/>
    <x v="11"/>
    <n v="2024"/>
    <s v="Low Sales"/>
  </r>
  <r>
    <s v="C3490"/>
    <x v="4"/>
    <d v="2024-10-20T00:00:00"/>
    <n v="4"/>
    <n v="794.6"/>
    <s v="Customer C3490"/>
    <x v="1"/>
    <x v="3"/>
    <x v="3"/>
    <n v="3178.4"/>
    <x v="9"/>
    <n v="2024"/>
    <s v="High Sales"/>
  </r>
  <r>
    <s v="C2872"/>
    <x v="1"/>
    <d v="2024-04-29T00:00:00"/>
    <n v="4"/>
    <n v="31.12"/>
    <s v="Customer C2872"/>
    <x v="2"/>
    <x v="0"/>
    <x v="2"/>
    <n v="124.48"/>
    <x v="3"/>
    <n v="2024"/>
    <s v="Low Sales"/>
  </r>
  <r>
    <s v="C5085"/>
    <x v="3"/>
    <d v="2024-04-24T00:00:00"/>
    <n v="8"/>
    <n v="689.21"/>
    <s v="Customer C5085"/>
    <x v="0"/>
    <x v="1"/>
    <x v="1"/>
    <n v="5513.68"/>
    <x v="3"/>
    <n v="2024"/>
    <s v="High Sales"/>
  </r>
  <r>
    <s v="C8446"/>
    <x v="2"/>
    <d v="2024-08-14T00:00:00"/>
    <n v="6"/>
    <n v="290.5"/>
    <s v="Customer C8446"/>
    <x v="1"/>
    <x v="4"/>
    <x v="3"/>
    <n v="1743"/>
    <x v="4"/>
    <n v="2024"/>
    <s v="Low Sales"/>
  </r>
  <r>
    <s v="C5020"/>
    <x v="3"/>
    <d v="2023-12-27T00:00:00"/>
    <n v="4"/>
    <n v="367.42"/>
    <s v="Customer C5020"/>
    <x v="2"/>
    <x v="3"/>
    <x v="1"/>
    <n v="1469.68"/>
    <x v="8"/>
    <n v="2023"/>
    <s v="Low Sales"/>
  </r>
  <r>
    <s v="C1772"/>
    <x v="4"/>
    <d v="2025-01-19T00:00:00"/>
    <n v="7"/>
    <n v="445.37"/>
    <s v="Customer C1772"/>
    <x v="1"/>
    <x v="1"/>
    <x v="4"/>
    <n v="3117.59"/>
    <x v="6"/>
    <n v="2025"/>
    <s v="High Sales"/>
  </r>
  <r>
    <s v="C4437"/>
    <x v="1"/>
    <d v="2024-05-06T00:00:00"/>
    <n v="5"/>
    <n v="404.52"/>
    <s v="Customer C4437"/>
    <x v="2"/>
    <x v="0"/>
    <x v="3"/>
    <n v="2022.6"/>
    <x v="10"/>
    <n v="2024"/>
    <s v="High Sales"/>
  </r>
  <r>
    <s v="C7360"/>
    <x v="4"/>
    <d v="2025-02-22T00:00:00"/>
    <n v="6"/>
    <n v="181.87"/>
    <s v="Customer C7360"/>
    <x v="2"/>
    <x v="0"/>
    <x v="4"/>
    <n v="1091.22"/>
    <x v="5"/>
    <n v="2025"/>
    <s v="Low Sales"/>
  </r>
  <r>
    <s v="C5402"/>
    <x v="0"/>
    <d v="2023-03-31T00:00:00"/>
    <n v="7"/>
    <n v="501.68"/>
    <s v="Customer C5402"/>
    <x v="2"/>
    <x v="4"/>
    <x v="4"/>
    <n v="3511.76"/>
    <x v="0"/>
    <n v="2023"/>
    <s v="High Sales"/>
  </r>
  <r>
    <s v="C7651"/>
    <x v="0"/>
    <d v="2024-06-04T00:00:00"/>
    <n v="1"/>
    <n v="55.85"/>
    <s v="Customer C7651"/>
    <x v="0"/>
    <x v="1"/>
    <x v="1"/>
    <n v="55.85"/>
    <x v="1"/>
    <n v="2024"/>
    <s v="Low Sales"/>
  </r>
  <r>
    <s v="C2341"/>
    <x v="0"/>
    <d v="2025-01-16T00:00:00"/>
    <n v="1"/>
    <n v="386.93"/>
    <s v="Customer C2341"/>
    <x v="2"/>
    <x v="0"/>
    <x v="2"/>
    <n v="386.93"/>
    <x v="6"/>
    <n v="2025"/>
    <s v="Low Sales"/>
  </r>
  <r>
    <s v="C8509"/>
    <x v="0"/>
    <d v="2023-09-11T00:00:00"/>
    <n v="7"/>
    <n v="227.2"/>
    <s v="Customer C8509"/>
    <x v="0"/>
    <x v="2"/>
    <x v="1"/>
    <n v="1590.4"/>
    <x v="2"/>
    <n v="2023"/>
    <s v="Low Sales"/>
  </r>
  <r>
    <s v="C1528"/>
    <x v="6"/>
    <d v="2023-01-13T00:00:00"/>
    <n v="5"/>
    <n v="536.13"/>
    <s v="Customer C1528"/>
    <x v="0"/>
    <x v="1"/>
    <x v="3"/>
    <n v="2680.65"/>
    <x v="6"/>
    <n v="2023"/>
    <s v="High Sales"/>
  </r>
  <r>
    <s v="C5002"/>
    <x v="3"/>
    <d v="2025-05-07T00:00:00"/>
    <n v="7"/>
    <n v="406.32"/>
    <s v="Customer C5002"/>
    <x v="1"/>
    <x v="1"/>
    <x v="3"/>
    <n v="2844.24"/>
    <x v="10"/>
    <n v="2025"/>
    <s v="High Sales"/>
  </r>
  <r>
    <s v="C2323"/>
    <x v="3"/>
    <d v="2024-04-25T00:00:00"/>
    <n v="4"/>
    <n v="9.0299999999999994"/>
    <s v="Customer C2323"/>
    <x v="1"/>
    <x v="1"/>
    <x v="3"/>
    <n v="36.119999999999997"/>
    <x v="3"/>
    <n v="2024"/>
    <s v="Low Sales"/>
  </r>
  <r>
    <s v="C1503"/>
    <x v="1"/>
    <d v="2024-08-21T00:00:00"/>
    <n v="3"/>
    <n v="505.98"/>
    <s v="Customer C1503"/>
    <x v="0"/>
    <x v="3"/>
    <x v="2"/>
    <n v="1517.94"/>
    <x v="4"/>
    <n v="2024"/>
    <s v="Low Sales"/>
  </r>
  <r>
    <s v="C1785"/>
    <x v="2"/>
    <d v="2025-04-14T00:00:00"/>
    <n v="3"/>
    <n v="25.9"/>
    <s v="Customer C1785"/>
    <x v="2"/>
    <x v="1"/>
    <x v="4"/>
    <n v="77.699999999999989"/>
    <x v="3"/>
    <n v="2025"/>
    <s v="Low Sales"/>
  </r>
  <r>
    <s v="C2985"/>
    <x v="4"/>
    <d v="2023-06-04T00:00:00"/>
    <n v="7"/>
    <n v="785.29"/>
    <s v="Customer C2985"/>
    <x v="0"/>
    <x v="2"/>
    <x v="2"/>
    <n v="5497.03"/>
    <x v="1"/>
    <n v="2023"/>
    <s v="High Sales"/>
  </r>
  <r>
    <s v="C5925"/>
    <x v="1"/>
    <d v="2024-09-07T00:00:00"/>
    <n v="7"/>
    <n v="580.44000000000005"/>
    <s v="Customer C5925"/>
    <x v="2"/>
    <x v="4"/>
    <x v="3"/>
    <n v="4063.08"/>
    <x v="2"/>
    <n v="2024"/>
    <s v="High Sales"/>
  </r>
  <r>
    <s v="C6149"/>
    <x v="5"/>
    <d v="2025-06-23T00:00:00"/>
    <n v="6"/>
    <n v="239.44"/>
    <s v="Customer C6149"/>
    <x v="0"/>
    <x v="2"/>
    <x v="0"/>
    <n v="1436.64"/>
    <x v="1"/>
    <n v="2025"/>
    <s v="Low Sales"/>
  </r>
  <r>
    <s v="C9706"/>
    <x v="6"/>
    <d v="2024-07-07T00:00:00"/>
    <n v="5"/>
    <n v="487.97"/>
    <s v="Customer C9706"/>
    <x v="0"/>
    <x v="1"/>
    <x v="1"/>
    <n v="2439.85"/>
    <x v="11"/>
    <n v="2024"/>
    <s v="High Sales"/>
  </r>
  <r>
    <s v="C7304"/>
    <x v="0"/>
    <d v="2025-05-25T00:00:00"/>
    <n v="4"/>
    <n v="630.54999999999995"/>
    <s v="Customer C7304"/>
    <x v="0"/>
    <x v="4"/>
    <x v="1"/>
    <n v="2522.1999999999998"/>
    <x v="10"/>
    <n v="2025"/>
    <s v="High Sales"/>
  </r>
  <r>
    <s v="C4001"/>
    <x v="1"/>
    <d v="2025-05-02T00:00:00"/>
    <n v="6"/>
    <n v="372.12"/>
    <s v="Customer C4001"/>
    <x v="1"/>
    <x v="2"/>
    <x v="3"/>
    <n v="2232.7199999999998"/>
    <x v="10"/>
    <n v="2025"/>
    <s v="High Sales"/>
  </r>
  <r>
    <s v="C7194"/>
    <x v="3"/>
    <d v="2023-08-22T00:00:00"/>
    <n v="8"/>
    <n v="439.21"/>
    <s v="Customer C7194"/>
    <x v="2"/>
    <x v="2"/>
    <x v="1"/>
    <n v="3513.68"/>
    <x v="4"/>
    <n v="2023"/>
    <s v="High Sales"/>
  </r>
  <r>
    <s v="C2973"/>
    <x v="0"/>
    <d v="2023-03-20T00:00:00"/>
    <n v="6"/>
    <n v="536.97"/>
    <s v="Customer C2973"/>
    <x v="0"/>
    <x v="4"/>
    <x v="1"/>
    <n v="3221.82"/>
    <x v="0"/>
    <n v="2023"/>
    <s v="High Sales"/>
  </r>
  <r>
    <s v="C4452"/>
    <x v="5"/>
    <d v="2024-08-05T00:00:00"/>
    <n v="4"/>
    <n v="15.12"/>
    <s v="Customer C4452"/>
    <x v="1"/>
    <x v="1"/>
    <x v="4"/>
    <n v="60.48"/>
    <x v="4"/>
    <n v="2024"/>
    <s v="Low Sales"/>
  </r>
  <r>
    <s v="C7045"/>
    <x v="5"/>
    <d v="2023-01-20T00:00:00"/>
    <n v="4"/>
    <n v="375.05"/>
    <s v="Customer C7045"/>
    <x v="2"/>
    <x v="4"/>
    <x v="1"/>
    <n v="1500.2"/>
    <x v="6"/>
    <n v="2023"/>
    <s v="Low Sales"/>
  </r>
  <r>
    <s v="C1862"/>
    <x v="4"/>
    <d v="2023-05-13T00:00:00"/>
    <n v="4"/>
    <n v="651.67999999999995"/>
    <s v="Customer C1862"/>
    <x v="1"/>
    <x v="4"/>
    <x v="3"/>
    <n v="2606.7199999999998"/>
    <x v="10"/>
    <n v="2023"/>
    <s v="High Sales"/>
  </r>
  <r>
    <s v="C5282"/>
    <x v="1"/>
    <d v="2023-10-27T00:00:00"/>
    <n v="2"/>
    <n v="757.03"/>
    <s v="Customer C5282"/>
    <x v="0"/>
    <x v="4"/>
    <x v="3"/>
    <n v="1514.06"/>
    <x v="9"/>
    <n v="2023"/>
    <s v="Low Sales"/>
  </r>
  <r>
    <s v="C5412"/>
    <x v="4"/>
    <d v="2025-01-06T00:00:00"/>
    <n v="6"/>
    <n v="665.62"/>
    <s v="Customer C5412"/>
    <x v="0"/>
    <x v="0"/>
    <x v="1"/>
    <n v="3993.72"/>
    <x v="6"/>
    <n v="2025"/>
    <s v="High Sales"/>
  </r>
  <r>
    <s v="C1835"/>
    <x v="6"/>
    <d v="2023-03-16T00:00:00"/>
    <n v="2"/>
    <n v="327.63"/>
    <s v="Customer C1835"/>
    <x v="1"/>
    <x v="1"/>
    <x v="1"/>
    <n v="655.26"/>
    <x v="0"/>
    <n v="2023"/>
    <s v="Low Sales"/>
  </r>
  <r>
    <s v="C3872"/>
    <x v="1"/>
    <d v="2024-02-05T00:00:00"/>
    <n v="7"/>
    <n v="231.77"/>
    <s v="Customer C3872"/>
    <x v="0"/>
    <x v="1"/>
    <x v="1"/>
    <n v="1622.39"/>
    <x v="5"/>
    <n v="2024"/>
    <s v="Low Sales"/>
  </r>
  <r>
    <s v="C6147"/>
    <x v="2"/>
    <d v="2025-06-21T00:00:00"/>
    <n v="6"/>
    <n v="118.25"/>
    <s v="Customer C6147"/>
    <x v="1"/>
    <x v="0"/>
    <x v="3"/>
    <n v="709.5"/>
    <x v="1"/>
    <n v="2025"/>
    <s v="Low Sales"/>
  </r>
  <r>
    <s v="C3745"/>
    <x v="1"/>
    <d v="2024-07-25T00:00:00"/>
    <n v="4"/>
    <n v="492.28"/>
    <s v="Customer C3745"/>
    <x v="0"/>
    <x v="0"/>
    <x v="2"/>
    <n v="1969.12"/>
    <x v="11"/>
    <n v="2024"/>
    <s v="Low Sales"/>
  </r>
  <r>
    <s v="C2613"/>
    <x v="6"/>
    <d v="2024-11-16T00:00:00"/>
    <n v="5"/>
    <n v="115.02"/>
    <s v="Customer C2613"/>
    <x v="0"/>
    <x v="2"/>
    <x v="2"/>
    <n v="575.1"/>
    <x v="7"/>
    <n v="2024"/>
    <s v="Low Sales"/>
  </r>
  <r>
    <s v="C5366"/>
    <x v="5"/>
    <d v="2024-04-21T00:00:00"/>
    <n v="3"/>
    <n v="531.52"/>
    <s v="Customer C5366"/>
    <x v="1"/>
    <x v="2"/>
    <x v="4"/>
    <n v="1594.56"/>
    <x v="3"/>
    <n v="2024"/>
    <s v="Low Sales"/>
  </r>
  <r>
    <s v="C4219"/>
    <x v="0"/>
    <d v="2025-06-27T00:00:00"/>
    <n v="1"/>
    <n v="469.68"/>
    <s v="Customer C4219"/>
    <x v="2"/>
    <x v="3"/>
    <x v="0"/>
    <n v="469.68"/>
    <x v="1"/>
    <n v="2025"/>
    <s v="Low Sales"/>
  </r>
  <r>
    <s v="C2697"/>
    <x v="2"/>
    <d v="2024-01-02T00:00:00"/>
    <n v="4"/>
    <n v="709.14"/>
    <s v="Customer C2697"/>
    <x v="0"/>
    <x v="1"/>
    <x v="3"/>
    <n v="2836.56"/>
    <x v="6"/>
    <n v="2024"/>
    <s v="High Sales"/>
  </r>
  <r>
    <s v="C7994"/>
    <x v="3"/>
    <d v="2024-04-14T00:00:00"/>
    <n v="5"/>
    <n v="295.23"/>
    <s v="Customer C7994"/>
    <x v="2"/>
    <x v="1"/>
    <x v="4"/>
    <n v="1476.15"/>
    <x v="3"/>
    <n v="2024"/>
    <s v="Low Sales"/>
  </r>
  <r>
    <s v="C7899"/>
    <x v="3"/>
    <d v="2025-03-30T00:00:00"/>
    <n v="4"/>
    <n v="778.62"/>
    <s v="Customer C7899"/>
    <x v="2"/>
    <x v="0"/>
    <x v="0"/>
    <n v="3114.48"/>
    <x v="0"/>
    <n v="2025"/>
    <s v="High Sales"/>
  </r>
  <r>
    <s v="C9893"/>
    <x v="3"/>
    <d v="2024-06-23T00:00:00"/>
    <n v="3"/>
    <n v="752.43"/>
    <s v="Customer C9893"/>
    <x v="0"/>
    <x v="0"/>
    <x v="4"/>
    <n v="2257.29"/>
    <x v="1"/>
    <n v="2024"/>
    <s v="High Sales"/>
  </r>
  <r>
    <s v="C9137"/>
    <x v="6"/>
    <d v="2023-06-16T00:00:00"/>
    <n v="7"/>
    <n v="671.35"/>
    <s v="Customer C9137"/>
    <x v="1"/>
    <x v="2"/>
    <x v="3"/>
    <n v="4699.45"/>
    <x v="1"/>
    <n v="2023"/>
    <s v="High Sales"/>
  </r>
  <r>
    <s v="C1312"/>
    <x v="6"/>
    <d v="2023-08-26T00:00:00"/>
    <n v="6"/>
    <n v="656.86"/>
    <s v="Customer C1312"/>
    <x v="0"/>
    <x v="0"/>
    <x v="4"/>
    <n v="3941.16"/>
    <x v="4"/>
    <n v="2023"/>
    <s v="High Sales"/>
  </r>
  <r>
    <s v="C3788"/>
    <x v="6"/>
    <d v="2024-12-02T00:00:00"/>
    <n v="1"/>
    <n v="656.85"/>
    <s v="Customer C3788"/>
    <x v="1"/>
    <x v="4"/>
    <x v="0"/>
    <n v="656.85"/>
    <x v="8"/>
    <n v="2024"/>
    <s v="Low Sales"/>
  </r>
  <r>
    <s v="C9625"/>
    <x v="3"/>
    <d v="2023-03-12T00:00:00"/>
    <n v="5"/>
    <n v="268.68"/>
    <s v="Customer C9625"/>
    <x v="0"/>
    <x v="2"/>
    <x v="4"/>
    <n v="1343.4"/>
    <x v="0"/>
    <n v="2023"/>
    <s v="Low Sales"/>
  </r>
  <r>
    <s v="C2409"/>
    <x v="1"/>
    <d v="2023-06-29T00:00:00"/>
    <n v="2"/>
    <n v="504.1"/>
    <s v="Customer C2409"/>
    <x v="1"/>
    <x v="2"/>
    <x v="3"/>
    <n v="1008.2"/>
    <x v="1"/>
    <n v="2023"/>
    <s v="Low Sales"/>
  </r>
  <r>
    <s v="C2593"/>
    <x v="0"/>
    <d v="2025-04-16T00:00:00"/>
    <n v="7"/>
    <n v="709.55"/>
    <s v="Customer C2593"/>
    <x v="1"/>
    <x v="4"/>
    <x v="3"/>
    <n v="4966.8499999999995"/>
    <x v="3"/>
    <n v="2025"/>
    <s v="High Sales"/>
  </r>
  <r>
    <s v="C3923"/>
    <x v="6"/>
    <d v="2023-07-27T00:00:00"/>
    <n v="2"/>
    <n v="504.14"/>
    <s v="Customer C3923"/>
    <x v="0"/>
    <x v="3"/>
    <x v="1"/>
    <n v="1008.28"/>
    <x v="11"/>
    <n v="2023"/>
    <s v="Low Sales"/>
  </r>
  <r>
    <s v="C8877"/>
    <x v="3"/>
    <d v="2024-05-31T00:00:00"/>
    <n v="1"/>
    <n v="789.77"/>
    <s v="Customer C8877"/>
    <x v="0"/>
    <x v="4"/>
    <x v="2"/>
    <n v="789.77"/>
    <x v="10"/>
    <n v="2024"/>
    <s v="Low Sales"/>
  </r>
  <r>
    <s v="C2227"/>
    <x v="3"/>
    <d v="2024-10-15T00:00:00"/>
    <n v="7"/>
    <n v="449.79"/>
    <s v="Customer C2227"/>
    <x v="2"/>
    <x v="4"/>
    <x v="0"/>
    <n v="3148.53"/>
    <x v="9"/>
    <n v="2024"/>
    <s v="High Sales"/>
  </r>
  <r>
    <s v="C1427"/>
    <x v="3"/>
    <d v="2024-09-20T00:00:00"/>
    <n v="5"/>
    <n v="651.59"/>
    <s v="Customer C1427"/>
    <x v="0"/>
    <x v="2"/>
    <x v="4"/>
    <n v="3257.95"/>
    <x v="2"/>
    <n v="2024"/>
    <s v="High Sales"/>
  </r>
  <r>
    <s v="C9700"/>
    <x v="2"/>
    <d v="2023-07-31T00:00:00"/>
    <n v="1"/>
    <n v="455.62"/>
    <s v="Customer C9700"/>
    <x v="1"/>
    <x v="4"/>
    <x v="0"/>
    <n v="455.62"/>
    <x v="11"/>
    <n v="2023"/>
    <s v="Low Sales"/>
  </r>
  <r>
    <s v="C8203"/>
    <x v="0"/>
    <d v="2024-11-22T00:00:00"/>
    <n v="6"/>
    <n v="794.18"/>
    <s v="Customer C8203"/>
    <x v="2"/>
    <x v="1"/>
    <x v="3"/>
    <n v="4765.08"/>
    <x v="7"/>
    <n v="2024"/>
    <s v="High Sales"/>
  </r>
  <r>
    <s v="C7795"/>
    <x v="6"/>
    <d v="2023-12-30T00:00:00"/>
    <n v="3"/>
    <n v="434.87"/>
    <s v="Customer C7795"/>
    <x v="1"/>
    <x v="3"/>
    <x v="1"/>
    <n v="1304.6099999999999"/>
    <x v="8"/>
    <n v="2023"/>
    <s v="Low Sales"/>
  </r>
  <r>
    <s v="C9797"/>
    <x v="5"/>
    <d v="2023-08-04T00:00:00"/>
    <n v="1"/>
    <n v="584.1"/>
    <s v="Customer C9797"/>
    <x v="1"/>
    <x v="0"/>
    <x v="3"/>
    <n v="584.1"/>
    <x v="4"/>
    <n v="2023"/>
    <s v="Low Sales"/>
  </r>
  <r>
    <s v="C7846"/>
    <x v="5"/>
    <d v="2024-05-27T00:00:00"/>
    <n v="6"/>
    <n v="280.63"/>
    <s v="Customer C7846"/>
    <x v="2"/>
    <x v="3"/>
    <x v="1"/>
    <n v="1683.78"/>
    <x v="10"/>
    <n v="2024"/>
    <s v="Low Sales"/>
  </r>
  <r>
    <s v="C9244"/>
    <x v="6"/>
    <d v="2025-03-27T00:00:00"/>
    <n v="2"/>
    <n v="258.95999999999998"/>
    <s v="Customer C9244"/>
    <x v="0"/>
    <x v="2"/>
    <x v="2"/>
    <n v="517.91999999999996"/>
    <x v="0"/>
    <n v="2025"/>
    <s v="Low Sales"/>
  </r>
  <r>
    <s v="C3180"/>
    <x v="4"/>
    <d v="2024-08-18T00:00:00"/>
    <n v="8"/>
    <n v="207.94"/>
    <s v="Customer C3180"/>
    <x v="0"/>
    <x v="1"/>
    <x v="4"/>
    <n v="1663.52"/>
    <x v="4"/>
    <n v="2024"/>
    <s v="Low Sales"/>
  </r>
  <r>
    <s v="C7195"/>
    <x v="3"/>
    <d v="2024-12-26T00:00:00"/>
    <n v="8"/>
    <n v="90.3"/>
    <s v="Customer C7195"/>
    <x v="0"/>
    <x v="0"/>
    <x v="1"/>
    <n v="722.4"/>
    <x v="8"/>
    <n v="2024"/>
    <s v="Low Sales"/>
  </r>
  <r>
    <s v="C9074"/>
    <x v="5"/>
    <d v="2025-03-18T00:00:00"/>
    <n v="8"/>
    <n v="612.74"/>
    <s v="Customer C9074"/>
    <x v="1"/>
    <x v="3"/>
    <x v="4"/>
    <n v="4901.92"/>
    <x v="0"/>
    <n v="2025"/>
    <s v="High Sales"/>
  </r>
  <r>
    <s v="C7784"/>
    <x v="0"/>
    <d v="2024-12-02T00:00:00"/>
    <n v="1"/>
    <n v="711.15"/>
    <s v="Customer C7784"/>
    <x v="2"/>
    <x v="3"/>
    <x v="2"/>
    <n v="711.15"/>
    <x v="8"/>
    <n v="2024"/>
    <s v="Low Sales"/>
  </r>
  <r>
    <s v="C3231"/>
    <x v="2"/>
    <d v="2024-07-20T00:00:00"/>
    <n v="5"/>
    <n v="114.92"/>
    <s v="Customer C3231"/>
    <x v="1"/>
    <x v="1"/>
    <x v="0"/>
    <n v="574.6"/>
    <x v="11"/>
    <n v="2024"/>
    <s v="Low Sales"/>
  </r>
  <r>
    <s v="C9011"/>
    <x v="5"/>
    <d v="2025-05-27T00:00:00"/>
    <n v="7"/>
    <n v="437.99"/>
    <s v="Customer C9011"/>
    <x v="0"/>
    <x v="4"/>
    <x v="0"/>
    <n v="3065.93"/>
    <x v="10"/>
    <n v="2025"/>
    <s v="High Sales"/>
  </r>
  <r>
    <s v="C6503"/>
    <x v="3"/>
    <d v="2023-04-15T00:00:00"/>
    <n v="3"/>
    <n v="483.11"/>
    <s v="Customer C6503"/>
    <x v="0"/>
    <x v="3"/>
    <x v="2"/>
    <n v="1449.33"/>
    <x v="3"/>
    <n v="2023"/>
    <s v="Low Sales"/>
  </r>
  <r>
    <s v="C9618"/>
    <x v="1"/>
    <d v="2023-03-29T00:00:00"/>
    <n v="5"/>
    <n v="770.86"/>
    <s v="Customer C9618"/>
    <x v="2"/>
    <x v="3"/>
    <x v="1"/>
    <n v="3854.3"/>
    <x v="0"/>
    <n v="2023"/>
    <s v="High Sales"/>
  </r>
  <r>
    <s v="C8981"/>
    <x v="1"/>
    <d v="2024-03-28T00:00:00"/>
    <n v="1"/>
    <n v="602.38"/>
    <s v="Customer C8981"/>
    <x v="1"/>
    <x v="4"/>
    <x v="3"/>
    <n v="602.38"/>
    <x v="0"/>
    <n v="2024"/>
    <s v="Low Sales"/>
  </r>
  <r>
    <s v="C9541"/>
    <x v="5"/>
    <d v="2024-12-02T00:00:00"/>
    <n v="8"/>
    <n v="418.27"/>
    <s v="Customer C9541"/>
    <x v="1"/>
    <x v="3"/>
    <x v="4"/>
    <n v="3346.16"/>
    <x v="8"/>
    <n v="2024"/>
    <s v="High Sales"/>
  </r>
  <r>
    <s v="C5728"/>
    <x v="4"/>
    <d v="2025-03-05T00:00:00"/>
    <n v="8"/>
    <n v="295.61"/>
    <s v="Customer C5728"/>
    <x v="1"/>
    <x v="2"/>
    <x v="4"/>
    <n v="2364.88"/>
    <x v="0"/>
    <n v="2025"/>
    <s v="High Sales"/>
  </r>
  <r>
    <s v="C1596"/>
    <x v="5"/>
    <d v="2023-09-06T00:00:00"/>
    <n v="2"/>
    <n v="646.03"/>
    <s v="Customer C1596"/>
    <x v="1"/>
    <x v="2"/>
    <x v="4"/>
    <n v="1292.06"/>
    <x v="2"/>
    <n v="2023"/>
    <s v="Low Sales"/>
  </r>
  <r>
    <s v="C9965"/>
    <x v="2"/>
    <d v="2024-08-31T00:00:00"/>
    <n v="5"/>
    <n v="441.52"/>
    <s v="Customer C9965"/>
    <x v="1"/>
    <x v="2"/>
    <x v="0"/>
    <n v="2207.6"/>
    <x v="4"/>
    <n v="2024"/>
    <s v="High Sales"/>
  </r>
  <r>
    <s v="C1151"/>
    <x v="1"/>
    <d v="2024-07-29T00:00:00"/>
    <n v="1"/>
    <n v="24.84"/>
    <s v="Customer C1151"/>
    <x v="0"/>
    <x v="1"/>
    <x v="0"/>
    <n v="24.84"/>
    <x v="11"/>
    <n v="2024"/>
    <s v="Low Sales"/>
  </r>
  <r>
    <s v="C8480"/>
    <x v="0"/>
    <d v="2024-01-21T00:00:00"/>
    <n v="5"/>
    <n v="741.72"/>
    <s v="Customer C8480"/>
    <x v="0"/>
    <x v="0"/>
    <x v="3"/>
    <n v="3708.6"/>
    <x v="6"/>
    <n v="2024"/>
    <s v="High Sales"/>
  </r>
  <r>
    <s v="C7031"/>
    <x v="5"/>
    <d v="2023-09-01T00:00:00"/>
    <n v="2"/>
    <n v="742.51"/>
    <s v="Customer C7031"/>
    <x v="2"/>
    <x v="4"/>
    <x v="3"/>
    <n v="1485.02"/>
    <x v="2"/>
    <n v="2023"/>
    <s v="Low Sales"/>
  </r>
  <r>
    <s v="C1623"/>
    <x v="6"/>
    <d v="2023-05-25T00:00:00"/>
    <n v="6"/>
    <n v="411.88"/>
    <s v="Customer C1623"/>
    <x v="0"/>
    <x v="1"/>
    <x v="1"/>
    <n v="2471.2800000000002"/>
    <x v="10"/>
    <n v="2023"/>
    <s v="High Sales"/>
  </r>
  <r>
    <s v="C4512"/>
    <x v="4"/>
    <d v="2025-03-15T00:00:00"/>
    <n v="3"/>
    <n v="428.09"/>
    <s v="Customer C4512"/>
    <x v="1"/>
    <x v="1"/>
    <x v="1"/>
    <n v="1284.27"/>
    <x v="0"/>
    <n v="2025"/>
    <s v="Low Sales"/>
  </r>
  <r>
    <s v="C6145"/>
    <x v="0"/>
    <d v="2023-05-23T00:00:00"/>
    <n v="4"/>
    <n v="473.68"/>
    <s v="Customer C6145"/>
    <x v="1"/>
    <x v="3"/>
    <x v="2"/>
    <n v="1894.72"/>
    <x v="10"/>
    <n v="2023"/>
    <s v="Low Sales"/>
  </r>
  <r>
    <s v="C8469"/>
    <x v="2"/>
    <d v="2023-05-06T00:00:00"/>
    <n v="5"/>
    <n v="362.89"/>
    <s v="Customer C8469"/>
    <x v="0"/>
    <x v="3"/>
    <x v="3"/>
    <n v="1814.45"/>
    <x v="10"/>
    <n v="2023"/>
    <s v="Low Sales"/>
  </r>
  <r>
    <s v="C9947"/>
    <x v="6"/>
    <d v="2023-05-20T00:00:00"/>
    <n v="5"/>
    <n v="225.32"/>
    <s v="Customer C9947"/>
    <x v="2"/>
    <x v="0"/>
    <x v="4"/>
    <n v="1126.5999999999999"/>
    <x v="10"/>
    <n v="2023"/>
    <s v="Low Sales"/>
  </r>
  <r>
    <s v="C6780"/>
    <x v="5"/>
    <d v="2024-10-15T00:00:00"/>
    <n v="6"/>
    <n v="43.52"/>
    <s v="Customer C6780"/>
    <x v="1"/>
    <x v="2"/>
    <x v="4"/>
    <n v="261.12"/>
    <x v="9"/>
    <n v="2024"/>
    <s v="Low Sales"/>
  </r>
  <r>
    <s v="C5216"/>
    <x v="2"/>
    <d v="2025-05-29T00:00:00"/>
    <n v="5"/>
    <n v="440.22"/>
    <s v="Customer C5216"/>
    <x v="0"/>
    <x v="3"/>
    <x v="0"/>
    <n v="2201.1"/>
    <x v="10"/>
    <n v="2025"/>
    <s v="High Sales"/>
  </r>
  <r>
    <s v="C5813"/>
    <x v="0"/>
    <d v="2025-05-26T00:00:00"/>
    <n v="8"/>
    <n v="156.04"/>
    <s v="Customer C5813"/>
    <x v="0"/>
    <x v="1"/>
    <x v="3"/>
    <n v="1248.32"/>
    <x v="10"/>
    <n v="2025"/>
    <s v="Low Sales"/>
  </r>
  <r>
    <s v="C8001"/>
    <x v="2"/>
    <d v="2024-09-10T00:00:00"/>
    <n v="5"/>
    <n v="773.71"/>
    <s v="Customer C8001"/>
    <x v="0"/>
    <x v="4"/>
    <x v="1"/>
    <n v="3868.55"/>
    <x v="2"/>
    <n v="2024"/>
    <s v="High Sales"/>
  </r>
  <r>
    <s v="C5687"/>
    <x v="1"/>
    <d v="2024-10-06T00:00:00"/>
    <n v="7"/>
    <n v="783.14"/>
    <s v="Customer C5687"/>
    <x v="2"/>
    <x v="4"/>
    <x v="4"/>
    <n v="5481.98"/>
    <x v="9"/>
    <n v="2024"/>
    <s v="High Sales"/>
  </r>
  <r>
    <s v="C9094"/>
    <x v="0"/>
    <d v="2024-09-05T00:00:00"/>
    <n v="8"/>
    <n v="343.55"/>
    <s v="Customer C9094"/>
    <x v="0"/>
    <x v="3"/>
    <x v="0"/>
    <n v="2748.4"/>
    <x v="2"/>
    <n v="2024"/>
    <s v="High Sales"/>
  </r>
  <r>
    <s v="C8246"/>
    <x v="6"/>
    <d v="2023-10-04T00:00:00"/>
    <n v="4"/>
    <n v="447.82"/>
    <s v="Customer C8246"/>
    <x v="2"/>
    <x v="4"/>
    <x v="0"/>
    <n v="1791.28"/>
    <x v="9"/>
    <n v="2023"/>
    <s v="Low Sales"/>
  </r>
  <r>
    <s v="C4402"/>
    <x v="1"/>
    <d v="2023-04-26T00:00:00"/>
    <n v="3"/>
    <n v="520.58000000000004"/>
    <s v="Customer C4402"/>
    <x v="2"/>
    <x v="4"/>
    <x v="0"/>
    <n v="1561.74"/>
    <x v="3"/>
    <n v="2023"/>
    <s v="Low Sales"/>
  </r>
  <r>
    <s v="C5598"/>
    <x v="6"/>
    <d v="2024-11-18T00:00:00"/>
    <n v="8"/>
    <n v="702.89"/>
    <s v="Customer C5598"/>
    <x v="1"/>
    <x v="4"/>
    <x v="2"/>
    <n v="5623.12"/>
    <x v="7"/>
    <n v="2024"/>
    <s v="High Sales"/>
  </r>
  <r>
    <s v="C8220"/>
    <x v="4"/>
    <d v="2025-04-16T00:00:00"/>
    <n v="5"/>
    <n v="507.53"/>
    <s v="Customer C8220"/>
    <x v="0"/>
    <x v="1"/>
    <x v="1"/>
    <n v="2537.65"/>
    <x v="3"/>
    <n v="2025"/>
    <s v="High Sales"/>
  </r>
  <r>
    <s v="C1634"/>
    <x v="0"/>
    <d v="2025-04-10T00:00:00"/>
    <n v="8"/>
    <n v="714.63"/>
    <s v="Customer C1634"/>
    <x v="2"/>
    <x v="4"/>
    <x v="4"/>
    <n v="5717.04"/>
    <x v="3"/>
    <n v="2025"/>
    <s v="High Sales"/>
  </r>
  <r>
    <s v="C8085"/>
    <x v="4"/>
    <d v="2023-12-16T00:00:00"/>
    <n v="1"/>
    <n v="234.44"/>
    <s v="Customer C8085"/>
    <x v="0"/>
    <x v="4"/>
    <x v="1"/>
    <n v="234.44"/>
    <x v="8"/>
    <n v="2023"/>
    <s v="Low Sales"/>
  </r>
  <r>
    <s v="C2241"/>
    <x v="3"/>
    <d v="2024-08-21T00:00:00"/>
    <n v="8"/>
    <n v="340"/>
    <s v="Customer C2241"/>
    <x v="0"/>
    <x v="4"/>
    <x v="4"/>
    <n v="2720"/>
    <x v="4"/>
    <n v="2024"/>
    <s v="High Sales"/>
  </r>
  <r>
    <s v="C9756"/>
    <x v="4"/>
    <d v="2024-11-19T00:00:00"/>
    <n v="6"/>
    <n v="395.6"/>
    <s v="Customer C9756"/>
    <x v="1"/>
    <x v="4"/>
    <x v="3"/>
    <n v="2373.6"/>
    <x v="7"/>
    <n v="2024"/>
    <s v="High Sales"/>
  </r>
  <r>
    <s v="C9667"/>
    <x v="1"/>
    <d v="2024-10-06T00:00:00"/>
    <n v="3"/>
    <n v="705.98"/>
    <s v="Customer C9667"/>
    <x v="0"/>
    <x v="0"/>
    <x v="3"/>
    <n v="2117.94"/>
    <x v="9"/>
    <n v="2024"/>
    <s v="High Sales"/>
  </r>
  <r>
    <s v="C8104"/>
    <x v="1"/>
    <d v="2024-07-20T00:00:00"/>
    <n v="3"/>
    <n v="792.02"/>
    <s v="Customer C8104"/>
    <x v="2"/>
    <x v="3"/>
    <x v="2"/>
    <n v="2376.06"/>
    <x v="11"/>
    <n v="2024"/>
    <s v="High Sales"/>
  </r>
  <r>
    <s v="C1770"/>
    <x v="4"/>
    <d v="2025-02-16T00:00:00"/>
    <n v="7"/>
    <n v="227.84"/>
    <s v="Customer C1770"/>
    <x v="2"/>
    <x v="0"/>
    <x v="2"/>
    <n v="1594.88"/>
    <x v="5"/>
    <n v="2025"/>
    <s v="Low Sales"/>
  </r>
  <r>
    <s v="C4858"/>
    <x v="5"/>
    <d v="2024-02-14T00:00:00"/>
    <n v="6"/>
    <n v="67.73"/>
    <s v="Customer C4858"/>
    <x v="2"/>
    <x v="4"/>
    <x v="4"/>
    <n v="406.38"/>
    <x v="5"/>
    <n v="2024"/>
    <s v="Low Sales"/>
  </r>
  <r>
    <s v="C8446"/>
    <x v="5"/>
    <d v="2024-11-01T00:00:00"/>
    <n v="5"/>
    <n v="468"/>
    <s v="Customer C8446"/>
    <x v="2"/>
    <x v="1"/>
    <x v="0"/>
    <n v="2340"/>
    <x v="7"/>
    <n v="2024"/>
    <s v="High Sales"/>
  </r>
  <r>
    <s v="C7785"/>
    <x v="3"/>
    <d v="2023-09-12T00:00:00"/>
    <n v="1"/>
    <n v="274.88"/>
    <s v="Customer C7785"/>
    <x v="0"/>
    <x v="3"/>
    <x v="3"/>
    <n v="274.88"/>
    <x v="2"/>
    <n v="2023"/>
    <s v="Low Sales"/>
  </r>
  <r>
    <s v="C2751"/>
    <x v="5"/>
    <d v="2025-01-09T00:00:00"/>
    <n v="1"/>
    <n v="677.08"/>
    <s v="Customer C2751"/>
    <x v="2"/>
    <x v="1"/>
    <x v="2"/>
    <n v="677.08"/>
    <x v="6"/>
    <n v="2025"/>
    <s v="Low Sales"/>
  </r>
  <r>
    <s v="C5410"/>
    <x v="2"/>
    <d v="2024-12-23T00:00:00"/>
    <n v="8"/>
    <n v="713.21"/>
    <s v="Customer C5410"/>
    <x v="0"/>
    <x v="3"/>
    <x v="4"/>
    <n v="5705.68"/>
    <x v="8"/>
    <n v="2024"/>
    <s v="High Sales"/>
  </r>
  <r>
    <s v="C5007"/>
    <x v="2"/>
    <d v="2024-07-16T00:00:00"/>
    <n v="3"/>
    <n v="597.35"/>
    <s v="Customer C5007"/>
    <x v="1"/>
    <x v="3"/>
    <x v="0"/>
    <n v="1792.05"/>
    <x v="11"/>
    <n v="2024"/>
    <s v="Low Sales"/>
  </r>
  <r>
    <s v="C2704"/>
    <x v="6"/>
    <d v="2025-01-11T00:00:00"/>
    <n v="6"/>
    <n v="234.84"/>
    <s v="Customer C2704"/>
    <x v="0"/>
    <x v="0"/>
    <x v="4"/>
    <n v="1409.04"/>
    <x v="6"/>
    <n v="2025"/>
    <s v="Low Sales"/>
  </r>
  <r>
    <s v="C3900"/>
    <x v="5"/>
    <d v="2024-01-13T00:00:00"/>
    <n v="5"/>
    <n v="751.68"/>
    <s v="Customer C3900"/>
    <x v="1"/>
    <x v="2"/>
    <x v="2"/>
    <n v="3758.4"/>
    <x v="6"/>
    <n v="2024"/>
    <s v="High Sales"/>
  </r>
  <r>
    <s v="C9033"/>
    <x v="6"/>
    <d v="2024-06-18T00:00:00"/>
    <n v="3"/>
    <n v="719.63"/>
    <s v="Customer C9033"/>
    <x v="1"/>
    <x v="1"/>
    <x v="2"/>
    <n v="2158.89"/>
    <x v="1"/>
    <n v="2024"/>
    <s v="High Sales"/>
  </r>
  <r>
    <s v="C9760"/>
    <x v="1"/>
    <d v="2023-09-17T00:00:00"/>
    <n v="8"/>
    <n v="300.38"/>
    <s v="Customer C9760"/>
    <x v="2"/>
    <x v="2"/>
    <x v="0"/>
    <n v="2403.04"/>
    <x v="2"/>
    <n v="2023"/>
    <s v="High Sales"/>
  </r>
  <r>
    <s v="C6239"/>
    <x v="1"/>
    <d v="2023-07-19T00:00:00"/>
    <n v="6"/>
    <n v="754.16"/>
    <s v="Customer C6239"/>
    <x v="2"/>
    <x v="1"/>
    <x v="0"/>
    <n v="4524.96"/>
    <x v="11"/>
    <n v="2023"/>
    <s v="High Sales"/>
  </r>
  <r>
    <s v="C5759"/>
    <x v="6"/>
    <d v="2023-11-24T00:00:00"/>
    <n v="7"/>
    <n v="240.67"/>
    <s v="Customer C5759"/>
    <x v="1"/>
    <x v="2"/>
    <x v="0"/>
    <n v="1684.69"/>
    <x v="7"/>
    <n v="2023"/>
    <s v="Low Sales"/>
  </r>
  <r>
    <s v="C5745"/>
    <x v="6"/>
    <d v="2025-03-24T00:00:00"/>
    <n v="2"/>
    <n v="715.14"/>
    <s v="Customer C5745"/>
    <x v="1"/>
    <x v="4"/>
    <x v="1"/>
    <n v="1430.28"/>
    <x v="0"/>
    <n v="2025"/>
    <s v="Low Sales"/>
  </r>
  <r>
    <s v="C2077"/>
    <x v="0"/>
    <d v="2024-01-12T00:00:00"/>
    <n v="4"/>
    <n v="245.19"/>
    <s v="Customer C2077"/>
    <x v="1"/>
    <x v="1"/>
    <x v="2"/>
    <n v="980.76"/>
    <x v="6"/>
    <n v="2024"/>
    <s v="Low Sales"/>
  </r>
  <r>
    <s v="C3656"/>
    <x v="2"/>
    <d v="2023-05-31T00:00:00"/>
    <n v="4"/>
    <n v="254.64"/>
    <s v="Customer C3656"/>
    <x v="0"/>
    <x v="4"/>
    <x v="4"/>
    <n v="1018.56"/>
    <x v="10"/>
    <n v="2023"/>
    <s v="Low Sales"/>
  </r>
  <r>
    <s v="C8210"/>
    <x v="1"/>
    <d v="2025-03-04T00:00:00"/>
    <n v="5"/>
    <n v="416.21"/>
    <s v="Customer C8210"/>
    <x v="1"/>
    <x v="4"/>
    <x v="0"/>
    <n v="2081.0500000000002"/>
    <x v="0"/>
    <n v="2025"/>
    <s v="High Sales"/>
  </r>
  <r>
    <s v="C3765"/>
    <x v="0"/>
    <d v="2025-04-19T00:00:00"/>
    <n v="2"/>
    <n v="472"/>
    <s v="Customer C3765"/>
    <x v="2"/>
    <x v="0"/>
    <x v="3"/>
    <n v="944"/>
    <x v="3"/>
    <n v="2025"/>
    <s v="Low Sales"/>
  </r>
  <r>
    <s v="C7357"/>
    <x v="5"/>
    <d v="2023-10-06T00:00:00"/>
    <n v="1"/>
    <n v="20.53"/>
    <s v="Customer C7357"/>
    <x v="2"/>
    <x v="1"/>
    <x v="1"/>
    <n v="20.53"/>
    <x v="9"/>
    <n v="2023"/>
    <s v="Low Sales"/>
  </r>
  <r>
    <s v="C8311"/>
    <x v="4"/>
    <d v="2023-02-26T00:00:00"/>
    <n v="8"/>
    <n v="152.88"/>
    <s v="Customer C8311"/>
    <x v="2"/>
    <x v="3"/>
    <x v="1"/>
    <n v="1223.04"/>
    <x v="5"/>
    <n v="2023"/>
    <s v="Low Sales"/>
  </r>
  <r>
    <s v="C5639"/>
    <x v="1"/>
    <d v="2025-04-13T00:00:00"/>
    <n v="6"/>
    <n v="203.83"/>
    <s v="Customer C5639"/>
    <x v="1"/>
    <x v="1"/>
    <x v="2"/>
    <n v="1222.98"/>
    <x v="3"/>
    <n v="2025"/>
    <s v="Low Sales"/>
  </r>
  <r>
    <s v="C3144"/>
    <x v="6"/>
    <d v="2024-10-04T00:00:00"/>
    <n v="2"/>
    <n v="350.19"/>
    <s v="Customer C3144"/>
    <x v="1"/>
    <x v="0"/>
    <x v="3"/>
    <n v="700.38"/>
    <x v="9"/>
    <n v="2024"/>
    <s v="Low Sales"/>
  </r>
  <r>
    <s v="C2491"/>
    <x v="5"/>
    <d v="2024-12-17T00:00:00"/>
    <n v="6"/>
    <n v="492.01"/>
    <s v="Customer C2491"/>
    <x v="1"/>
    <x v="0"/>
    <x v="1"/>
    <n v="2952.06"/>
    <x v="8"/>
    <n v="2024"/>
    <s v="High Sales"/>
  </r>
  <r>
    <s v="C9693"/>
    <x v="2"/>
    <d v="2023-06-14T00:00:00"/>
    <n v="5"/>
    <n v="307.26"/>
    <s v="Customer C9693"/>
    <x v="2"/>
    <x v="2"/>
    <x v="4"/>
    <n v="1536.3"/>
    <x v="1"/>
    <n v="2023"/>
    <s v="Low Sales"/>
  </r>
  <r>
    <s v="C5579"/>
    <x v="1"/>
    <d v="2025-06-03T00:00:00"/>
    <n v="3"/>
    <n v="392.68"/>
    <s v="Customer C5579"/>
    <x v="1"/>
    <x v="4"/>
    <x v="0"/>
    <n v="1178.04"/>
    <x v="1"/>
    <n v="2025"/>
    <s v="Low Sales"/>
  </r>
  <r>
    <s v="C7878"/>
    <x v="4"/>
    <d v="2025-04-13T00:00:00"/>
    <n v="6"/>
    <n v="776.63"/>
    <s v="Customer C7878"/>
    <x v="2"/>
    <x v="4"/>
    <x v="3"/>
    <n v="4659.78"/>
    <x v="3"/>
    <n v="2025"/>
    <s v="High Sales"/>
  </r>
  <r>
    <s v="C3285"/>
    <x v="2"/>
    <d v="2025-05-21T00:00:00"/>
    <n v="4"/>
    <n v="465.97"/>
    <s v="Customer C3285"/>
    <x v="0"/>
    <x v="2"/>
    <x v="4"/>
    <n v="1863.88"/>
    <x v="10"/>
    <n v="2025"/>
    <s v="Low Sales"/>
  </r>
  <r>
    <s v="C4549"/>
    <x v="6"/>
    <d v="2025-01-19T00:00:00"/>
    <n v="6"/>
    <n v="336.38"/>
    <s v="Customer C4549"/>
    <x v="2"/>
    <x v="1"/>
    <x v="4"/>
    <n v="2018.28"/>
    <x v="6"/>
    <n v="2025"/>
    <s v="High Sales"/>
  </r>
  <r>
    <s v="C8109"/>
    <x v="4"/>
    <d v="2025-06-18T00:00:00"/>
    <n v="7"/>
    <n v="483.57"/>
    <s v="Customer C8109"/>
    <x v="2"/>
    <x v="3"/>
    <x v="4"/>
    <n v="3384.99"/>
    <x v="1"/>
    <n v="2025"/>
    <s v="High Sales"/>
  </r>
  <r>
    <s v="C7438"/>
    <x v="4"/>
    <d v="2025-02-15T00:00:00"/>
    <n v="4"/>
    <n v="111.52"/>
    <s v="Customer C7438"/>
    <x v="1"/>
    <x v="1"/>
    <x v="3"/>
    <n v="446.08"/>
    <x v="5"/>
    <n v="2025"/>
    <s v="Low Sales"/>
  </r>
  <r>
    <s v="C7645"/>
    <x v="0"/>
    <d v="2023-07-09T00:00:00"/>
    <n v="3"/>
    <n v="234.3"/>
    <s v="Customer C7645"/>
    <x v="0"/>
    <x v="1"/>
    <x v="3"/>
    <n v="702.90000000000009"/>
    <x v="11"/>
    <n v="2023"/>
    <s v="Low Sales"/>
  </r>
  <r>
    <s v="C1009"/>
    <x v="3"/>
    <d v="2024-05-11T00:00:00"/>
    <n v="3"/>
    <n v="754.71"/>
    <s v="Customer C1009"/>
    <x v="1"/>
    <x v="2"/>
    <x v="2"/>
    <n v="2264.13"/>
    <x v="10"/>
    <n v="2024"/>
    <s v="High Sales"/>
  </r>
  <r>
    <s v="C5543"/>
    <x v="1"/>
    <d v="2024-03-10T00:00:00"/>
    <n v="1"/>
    <n v="781.85"/>
    <s v="Customer C5543"/>
    <x v="2"/>
    <x v="4"/>
    <x v="4"/>
    <n v="781.85"/>
    <x v="0"/>
    <n v="2024"/>
    <s v="Low Sales"/>
  </r>
  <r>
    <s v="C9464"/>
    <x v="1"/>
    <d v="2023-06-07T00:00:00"/>
    <n v="7"/>
    <n v="34.85"/>
    <s v="Customer C9464"/>
    <x v="0"/>
    <x v="1"/>
    <x v="1"/>
    <n v="243.95"/>
    <x v="1"/>
    <n v="2023"/>
    <s v="Low Sales"/>
  </r>
  <r>
    <s v="C5096"/>
    <x v="5"/>
    <d v="2023-10-21T00:00:00"/>
    <n v="4"/>
    <n v="659.47"/>
    <s v="Customer C5096"/>
    <x v="0"/>
    <x v="3"/>
    <x v="3"/>
    <n v="2637.88"/>
    <x v="9"/>
    <n v="2023"/>
    <s v="High Sales"/>
  </r>
  <r>
    <s v="C9620"/>
    <x v="2"/>
    <d v="2023-04-03T00:00:00"/>
    <n v="5"/>
    <n v="384.78"/>
    <s v="Customer C9620"/>
    <x v="2"/>
    <x v="4"/>
    <x v="2"/>
    <n v="1923.9"/>
    <x v="3"/>
    <n v="2023"/>
    <s v="Low Sales"/>
  </r>
  <r>
    <s v="C3505"/>
    <x v="2"/>
    <d v="2025-01-04T00:00:00"/>
    <n v="3"/>
    <n v="629.78"/>
    <s v="Customer C3505"/>
    <x v="1"/>
    <x v="0"/>
    <x v="2"/>
    <n v="1889.34"/>
    <x v="6"/>
    <n v="2025"/>
    <s v="Low Sales"/>
  </r>
  <r>
    <s v="C1675"/>
    <x v="2"/>
    <d v="2023-12-22T00:00:00"/>
    <n v="7"/>
    <n v="655.23"/>
    <s v="Customer C1675"/>
    <x v="0"/>
    <x v="4"/>
    <x v="3"/>
    <n v="4586.6100000000006"/>
    <x v="8"/>
    <n v="2023"/>
    <s v="High Sales"/>
  </r>
  <r>
    <s v="C4446"/>
    <x v="2"/>
    <d v="2023-02-14T00:00:00"/>
    <n v="6"/>
    <n v="610.36"/>
    <s v="Customer C4446"/>
    <x v="1"/>
    <x v="2"/>
    <x v="3"/>
    <n v="3662.16"/>
    <x v="5"/>
    <n v="2023"/>
    <s v="High Sales"/>
  </r>
  <r>
    <s v="C8856"/>
    <x v="0"/>
    <d v="2023-08-03T00:00:00"/>
    <n v="4"/>
    <n v="215.61"/>
    <s v="Customer C8856"/>
    <x v="0"/>
    <x v="3"/>
    <x v="0"/>
    <n v="862.44"/>
    <x v="4"/>
    <n v="2023"/>
    <s v="Low Sales"/>
  </r>
  <r>
    <s v="C9678"/>
    <x v="0"/>
    <d v="2024-12-01T00:00:00"/>
    <n v="2"/>
    <n v="311.39"/>
    <s v="Customer C9678"/>
    <x v="2"/>
    <x v="1"/>
    <x v="1"/>
    <n v="622.78"/>
    <x v="8"/>
    <n v="2024"/>
    <s v="Low Sales"/>
  </r>
  <r>
    <s v="C6018"/>
    <x v="1"/>
    <d v="2024-07-13T00:00:00"/>
    <n v="2"/>
    <n v="166.62"/>
    <s v="Customer C6018"/>
    <x v="0"/>
    <x v="1"/>
    <x v="0"/>
    <n v="333.24"/>
    <x v="11"/>
    <n v="2024"/>
    <s v="Low Sales"/>
  </r>
  <r>
    <s v="C6753"/>
    <x v="4"/>
    <d v="2025-06-24T00:00:00"/>
    <n v="2"/>
    <n v="330"/>
    <s v="Customer C6753"/>
    <x v="0"/>
    <x v="1"/>
    <x v="3"/>
    <n v="660"/>
    <x v="1"/>
    <n v="2025"/>
    <s v="Low Sales"/>
  </r>
  <r>
    <s v="C8997"/>
    <x v="6"/>
    <d v="2025-03-26T00:00:00"/>
    <n v="5"/>
    <n v="314.69"/>
    <s v="Customer C8997"/>
    <x v="1"/>
    <x v="1"/>
    <x v="2"/>
    <n v="1573.45"/>
    <x v="0"/>
    <n v="2025"/>
    <s v="Low Sales"/>
  </r>
  <r>
    <s v="C4715"/>
    <x v="2"/>
    <d v="2024-07-27T00:00:00"/>
    <n v="2"/>
    <n v="677.5"/>
    <s v="Customer C4715"/>
    <x v="1"/>
    <x v="2"/>
    <x v="1"/>
    <n v="1355"/>
    <x v="11"/>
    <n v="2024"/>
    <s v="Low Sales"/>
  </r>
  <r>
    <s v="C9337"/>
    <x v="0"/>
    <d v="2024-11-29T00:00:00"/>
    <n v="6"/>
    <n v="5.18"/>
    <s v="Customer C9337"/>
    <x v="2"/>
    <x v="0"/>
    <x v="4"/>
    <n v="31.08"/>
    <x v="7"/>
    <n v="2024"/>
    <s v="Low Sales"/>
  </r>
  <r>
    <s v="C3006"/>
    <x v="1"/>
    <d v="2025-05-04T00:00:00"/>
    <n v="3"/>
    <n v="671.86"/>
    <s v="Customer C3006"/>
    <x v="1"/>
    <x v="4"/>
    <x v="0"/>
    <n v="2015.58"/>
    <x v="10"/>
    <n v="2025"/>
    <s v="High Sales"/>
  </r>
  <r>
    <s v="C1166"/>
    <x v="4"/>
    <d v="2023-10-22T00:00:00"/>
    <n v="8"/>
    <n v="209.16"/>
    <s v="Customer C1166"/>
    <x v="0"/>
    <x v="1"/>
    <x v="1"/>
    <n v="1673.28"/>
    <x v="9"/>
    <n v="2023"/>
    <s v="Low Sales"/>
  </r>
  <r>
    <s v="C5993"/>
    <x v="5"/>
    <d v="2023-01-05T00:00:00"/>
    <n v="7"/>
    <n v="128.59"/>
    <s v="Customer C5993"/>
    <x v="2"/>
    <x v="2"/>
    <x v="1"/>
    <n v="900.13"/>
    <x v="6"/>
    <n v="2023"/>
    <s v="Low Sales"/>
  </r>
  <r>
    <s v="C4133"/>
    <x v="0"/>
    <d v="2023-06-09T00:00:00"/>
    <n v="4"/>
    <n v="774.66"/>
    <s v="Customer C4133"/>
    <x v="1"/>
    <x v="4"/>
    <x v="1"/>
    <n v="3098.64"/>
    <x v="1"/>
    <n v="2023"/>
    <s v="High Sales"/>
  </r>
  <r>
    <s v="C3385"/>
    <x v="6"/>
    <d v="2024-02-15T00:00:00"/>
    <n v="7"/>
    <n v="427.25"/>
    <s v="Customer C3385"/>
    <x v="1"/>
    <x v="0"/>
    <x v="4"/>
    <n v="2990.75"/>
    <x v="5"/>
    <n v="2024"/>
    <s v="High Sales"/>
  </r>
  <r>
    <s v="C8322"/>
    <x v="5"/>
    <d v="2024-04-06T00:00:00"/>
    <n v="3"/>
    <n v="93.76"/>
    <s v="Customer C8322"/>
    <x v="1"/>
    <x v="1"/>
    <x v="0"/>
    <n v="281.27999999999997"/>
    <x v="3"/>
    <n v="2024"/>
    <s v="Low Sales"/>
  </r>
  <r>
    <s v="C8169"/>
    <x v="5"/>
    <d v="2023-04-03T00:00:00"/>
    <n v="6"/>
    <n v="295.93"/>
    <s v="Customer C8169"/>
    <x v="0"/>
    <x v="4"/>
    <x v="3"/>
    <n v="1775.58"/>
    <x v="3"/>
    <n v="2023"/>
    <s v="Low Sales"/>
  </r>
  <r>
    <s v="C1840"/>
    <x v="6"/>
    <d v="2023-03-18T00:00:00"/>
    <n v="7"/>
    <n v="253.64"/>
    <s v="Customer C1840"/>
    <x v="0"/>
    <x v="2"/>
    <x v="0"/>
    <n v="1775.48"/>
    <x v="0"/>
    <n v="2023"/>
    <s v="Low Sales"/>
  </r>
  <r>
    <s v="C3356"/>
    <x v="6"/>
    <d v="2024-11-02T00:00:00"/>
    <n v="7"/>
    <n v="89.56"/>
    <s v="Customer C3356"/>
    <x v="2"/>
    <x v="0"/>
    <x v="1"/>
    <n v="626.92000000000007"/>
    <x v="7"/>
    <n v="2024"/>
    <s v="Low Sales"/>
  </r>
  <r>
    <s v="C1631"/>
    <x v="1"/>
    <d v="2024-12-22T00:00:00"/>
    <n v="7"/>
    <n v="247.21"/>
    <s v="Customer C1631"/>
    <x v="1"/>
    <x v="4"/>
    <x v="3"/>
    <n v="1730.47"/>
    <x v="8"/>
    <n v="2024"/>
    <s v="Low Sales"/>
  </r>
  <r>
    <s v="C7535"/>
    <x v="4"/>
    <d v="2025-01-09T00:00:00"/>
    <n v="6"/>
    <n v="137.78"/>
    <s v="Customer C7535"/>
    <x v="0"/>
    <x v="3"/>
    <x v="1"/>
    <n v="826.68000000000006"/>
    <x v="6"/>
    <n v="2025"/>
    <s v="Low Sales"/>
  </r>
  <r>
    <s v="C5803"/>
    <x v="1"/>
    <d v="2024-11-02T00:00:00"/>
    <n v="3"/>
    <n v="639.79"/>
    <s v="Customer C5803"/>
    <x v="0"/>
    <x v="4"/>
    <x v="2"/>
    <n v="1919.37"/>
    <x v="7"/>
    <n v="2024"/>
    <s v="Low Sales"/>
  </r>
  <r>
    <s v="C3288"/>
    <x v="0"/>
    <d v="2025-01-15T00:00:00"/>
    <n v="4"/>
    <n v="174.83"/>
    <s v="Customer C3288"/>
    <x v="2"/>
    <x v="3"/>
    <x v="0"/>
    <n v="699.32"/>
    <x v="6"/>
    <n v="2025"/>
    <s v="Low Sales"/>
  </r>
  <r>
    <s v="C5332"/>
    <x v="4"/>
    <d v="2024-03-29T00:00:00"/>
    <n v="4"/>
    <n v="202.97"/>
    <s v="Customer C5332"/>
    <x v="0"/>
    <x v="4"/>
    <x v="3"/>
    <n v="811.88"/>
    <x v="0"/>
    <n v="2024"/>
    <s v="Low Sales"/>
  </r>
  <r>
    <s v="C1988"/>
    <x v="3"/>
    <d v="2023-12-27T00:00:00"/>
    <n v="4"/>
    <n v="384.27"/>
    <s v="Customer C1988"/>
    <x v="0"/>
    <x v="3"/>
    <x v="0"/>
    <n v="1537.08"/>
    <x v="8"/>
    <n v="2023"/>
    <s v="Low Sales"/>
  </r>
  <r>
    <s v="C8966"/>
    <x v="4"/>
    <d v="2023-04-12T00:00:00"/>
    <n v="5"/>
    <n v="62.8"/>
    <s v="Customer C8966"/>
    <x v="0"/>
    <x v="0"/>
    <x v="3"/>
    <n v="314"/>
    <x v="3"/>
    <n v="2023"/>
    <s v="Low Sales"/>
  </r>
  <r>
    <s v="C5882"/>
    <x v="1"/>
    <d v="2023-06-06T00:00:00"/>
    <n v="8"/>
    <n v="39.49"/>
    <s v="Customer C5882"/>
    <x v="2"/>
    <x v="4"/>
    <x v="3"/>
    <n v="315.92"/>
    <x v="1"/>
    <n v="2023"/>
    <s v="Low Sales"/>
  </r>
  <r>
    <s v="C8648"/>
    <x v="5"/>
    <d v="2024-04-08T00:00:00"/>
    <n v="2"/>
    <n v="775.78"/>
    <s v="Customer C8648"/>
    <x v="1"/>
    <x v="1"/>
    <x v="3"/>
    <n v="1551.56"/>
    <x v="3"/>
    <n v="2024"/>
    <s v="Low Sales"/>
  </r>
  <r>
    <s v="C4705"/>
    <x v="5"/>
    <d v="2024-10-12T00:00:00"/>
    <n v="4"/>
    <n v="609.05999999999995"/>
    <s v="Customer C4705"/>
    <x v="2"/>
    <x v="2"/>
    <x v="0"/>
    <n v="2436.2399999999998"/>
    <x v="9"/>
    <n v="2024"/>
    <s v="High Sales"/>
  </r>
  <r>
    <s v="C3269"/>
    <x v="6"/>
    <d v="2024-02-01T00:00:00"/>
    <n v="6"/>
    <n v="562.65"/>
    <s v="Customer C3269"/>
    <x v="2"/>
    <x v="1"/>
    <x v="4"/>
    <n v="3375.9"/>
    <x v="5"/>
    <n v="2024"/>
    <s v="High Sales"/>
  </r>
  <r>
    <s v="C2312"/>
    <x v="4"/>
    <d v="2023-12-04T00:00:00"/>
    <n v="6"/>
    <n v="462"/>
    <s v="Customer C2312"/>
    <x v="2"/>
    <x v="0"/>
    <x v="1"/>
    <n v="2772"/>
    <x v="8"/>
    <n v="2023"/>
    <s v="High Sales"/>
  </r>
  <r>
    <s v="C9511"/>
    <x v="2"/>
    <d v="2024-05-26T00:00:00"/>
    <n v="5"/>
    <n v="84.16"/>
    <s v="Customer C9511"/>
    <x v="0"/>
    <x v="1"/>
    <x v="3"/>
    <n v="420.8"/>
    <x v="10"/>
    <n v="2024"/>
    <s v="Low Sales"/>
  </r>
  <r>
    <s v="C1059"/>
    <x v="5"/>
    <d v="2025-04-14T00:00:00"/>
    <n v="8"/>
    <n v="505.48"/>
    <s v="Customer C1059"/>
    <x v="0"/>
    <x v="0"/>
    <x v="2"/>
    <n v="4043.84"/>
    <x v="3"/>
    <n v="2025"/>
    <s v="High Sales"/>
  </r>
  <r>
    <s v="C2215"/>
    <x v="3"/>
    <d v="2024-10-01T00:00:00"/>
    <n v="1"/>
    <n v="559.53"/>
    <s v="Customer C2215"/>
    <x v="2"/>
    <x v="2"/>
    <x v="1"/>
    <n v="559.53"/>
    <x v="9"/>
    <n v="2024"/>
    <s v="Low Sales"/>
  </r>
  <r>
    <s v="C5169"/>
    <x v="1"/>
    <d v="2023-02-27T00:00:00"/>
    <n v="2"/>
    <n v="797.65"/>
    <s v="Customer C5169"/>
    <x v="2"/>
    <x v="1"/>
    <x v="3"/>
    <n v="1595.3"/>
    <x v="5"/>
    <n v="2023"/>
    <s v="Low Sales"/>
  </r>
  <r>
    <s v="C9312"/>
    <x v="6"/>
    <d v="2023-08-03T00:00:00"/>
    <n v="2"/>
    <n v="552.32000000000005"/>
    <s v="Customer C9312"/>
    <x v="2"/>
    <x v="3"/>
    <x v="2"/>
    <n v="1104.6400000000001"/>
    <x v="4"/>
    <n v="2023"/>
    <s v="Low Sales"/>
  </r>
  <r>
    <s v="C5929"/>
    <x v="0"/>
    <d v="2024-01-11T00:00:00"/>
    <n v="5"/>
    <n v="429.91"/>
    <s v="Customer C5929"/>
    <x v="0"/>
    <x v="1"/>
    <x v="0"/>
    <n v="2149.5500000000002"/>
    <x v="6"/>
    <n v="2024"/>
    <s v="High Sales"/>
  </r>
  <r>
    <s v="C5964"/>
    <x v="0"/>
    <d v="2024-05-20T00:00:00"/>
    <n v="8"/>
    <n v="642.91"/>
    <s v="Customer C5964"/>
    <x v="2"/>
    <x v="4"/>
    <x v="3"/>
    <n v="5143.28"/>
    <x v="10"/>
    <n v="2024"/>
    <s v="High Sales"/>
  </r>
  <r>
    <s v="C2172"/>
    <x v="0"/>
    <d v="2024-12-17T00:00:00"/>
    <n v="4"/>
    <n v="16.48"/>
    <s v="Customer C2172"/>
    <x v="0"/>
    <x v="3"/>
    <x v="4"/>
    <n v="65.92"/>
    <x v="8"/>
    <n v="2024"/>
    <s v="Low Sales"/>
  </r>
  <r>
    <s v="C9209"/>
    <x v="2"/>
    <d v="2025-01-31T00:00:00"/>
    <n v="6"/>
    <n v="354.17"/>
    <s v="Customer C9209"/>
    <x v="1"/>
    <x v="4"/>
    <x v="3"/>
    <n v="2125.02"/>
    <x v="6"/>
    <n v="2025"/>
    <s v="High Sales"/>
  </r>
  <r>
    <s v="C4639"/>
    <x v="0"/>
    <d v="2024-06-10T00:00:00"/>
    <n v="8"/>
    <n v="389.9"/>
    <s v="Customer C4639"/>
    <x v="0"/>
    <x v="1"/>
    <x v="2"/>
    <n v="3119.2"/>
    <x v="1"/>
    <n v="2024"/>
    <s v="High Sales"/>
  </r>
  <r>
    <s v="C2263"/>
    <x v="6"/>
    <d v="2025-06-25T00:00:00"/>
    <n v="8"/>
    <n v="293.06"/>
    <s v="Customer C2263"/>
    <x v="2"/>
    <x v="1"/>
    <x v="0"/>
    <n v="2344.48"/>
    <x v="1"/>
    <n v="2025"/>
    <s v="High Sales"/>
  </r>
  <r>
    <s v="C1786"/>
    <x v="4"/>
    <d v="2025-05-04T00:00:00"/>
    <n v="1"/>
    <n v="572.53"/>
    <s v="Customer C1786"/>
    <x v="0"/>
    <x v="4"/>
    <x v="0"/>
    <n v="572.53"/>
    <x v="10"/>
    <n v="2025"/>
    <s v="Low Sales"/>
  </r>
  <r>
    <s v="C7487"/>
    <x v="6"/>
    <d v="2025-05-14T00:00:00"/>
    <n v="1"/>
    <n v="13.02"/>
    <s v="Customer C7487"/>
    <x v="1"/>
    <x v="2"/>
    <x v="3"/>
    <n v="13.02"/>
    <x v="10"/>
    <n v="2025"/>
    <s v="Low Sales"/>
  </r>
  <r>
    <s v="C7107"/>
    <x v="5"/>
    <d v="2024-09-08T00:00:00"/>
    <n v="4"/>
    <n v="621.19000000000005"/>
    <s v="Customer C7107"/>
    <x v="1"/>
    <x v="3"/>
    <x v="0"/>
    <n v="2484.7600000000002"/>
    <x v="2"/>
    <n v="2024"/>
    <s v="High Sales"/>
  </r>
  <r>
    <s v="C1645"/>
    <x v="0"/>
    <d v="2023-06-09T00:00:00"/>
    <n v="8"/>
    <n v="677.68"/>
    <s v="Customer C1645"/>
    <x v="0"/>
    <x v="3"/>
    <x v="3"/>
    <n v="5421.44"/>
    <x v="1"/>
    <n v="2023"/>
    <s v="High Sales"/>
  </r>
  <r>
    <s v="C9039"/>
    <x v="1"/>
    <d v="2025-06-19T00:00:00"/>
    <n v="5"/>
    <n v="150.35"/>
    <s v="Customer C9039"/>
    <x v="1"/>
    <x v="0"/>
    <x v="1"/>
    <n v="751.75"/>
    <x v="1"/>
    <n v="2025"/>
    <s v="Low Sales"/>
  </r>
  <r>
    <s v="C5776"/>
    <x v="1"/>
    <d v="2024-07-16T00:00:00"/>
    <n v="8"/>
    <n v="486.21"/>
    <s v="Customer C5776"/>
    <x v="0"/>
    <x v="3"/>
    <x v="1"/>
    <n v="3889.68"/>
    <x v="11"/>
    <n v="2024"/>
    <s v="High Sales"/>
  </r>
  <r>
    <s v="C1118"/>
    <x v="4"/>
    <d v="2023-08-10T00:00:00"/>
    <n v="4"/>
    <n v="163.79"/>
    <s v="Customer C1118"/>
    <x v="2"/>
    <x v="3"/>
    <x v="4"/>
    <n v="655.16"/>
    <x v="4"/>
    <n v="2023"/>
    <s v="Low Sales"/>
  </r>
  <r>
    <s v="C8933"/>
    <x v="2"/>
    <d v="2025-05-13T00:00:00"/>
    <n v="6"/>
    <n v="527.91"/>
    <s v="Customer C8933"/>
    <x v="1"/>
    <x v="3"/>
    <x v="3"/>
    <n v="3167.46"/>
    <x v="10"/>
    <n v="2025"/>
    <s v="High Sales"/>
  </r>
  <r>
    <s v="C4037"/>
    <x v="2"/>
    <d v="2025-03-06T00:00:00"/>
    <n v="5"/>
    <n v="306.77"/>
    <s v="Customer C4037"/>
    <x v="2"/>
    <x v="3"/>
    <x v="2"/>
    <n v="1533.85"/>
    <x v="0"/>
    <n v="2025"/>
    <s v="Low Sales"/>
  </r>
  <r>
    <s v="C8440"/>
    <x v="4"/>
    <d v="2025-01-27T00:00:00"/>
    <n v="2"/>
    <n v="676.4"/>
    <s v="Customer C8440"/>
    <x v="0"/>
    <x v="3"/>
    <x v="0"/>
    <n v="1352.8"/>
    <x v="6"/>
    <n v="2025"/>
    <s v="Low Sales"/>
  </r>
  <r>
    <s v="C5267"/>
    <x v="3"/>
    <d v="2024-05-01T00:00:00"/>
    <n v="5"/>
    <n v="118.35"/>
    <s v="Customer C5267"/>
    <x v="0"/>
    <x v="3"/>
    <x v="2"/>
    <n v="591.75"/>
    <x v="10"/>
    <n v="2024"/>
    <s v="Low Sales"/>
  </r>
  <r>
    <s v="C3772"/>
    <x v="1"/>
    <d v="2025-03-24T00:00:00"/>
    <n v="1"/>
    <n v="198.47"/>
    <s v="Customer C3772"/>
    <x v="1"/>
    <x v="1"/>
    <x v="2"/>
    <n v="198.47"/>
    <x v="0"/>
    <n v="2025"/>
    <s v="Low Sales"/>
  </r>
  <r>
    <s v="C3428"/>
    <x v="4"/>
    <d v="2025-05-22T00:00:00"/>
    <n v="6"/>
    <n v="598.59"/>
    <s v="Customer C3428"/>
    <x v="1"/>
    <x v="3"/>
    <x v="0"/>
    <n v="3591.54"/>
    <x v="10"/>
    <n v="2025"/>
    <s v="High Sales"/>
  </r>
  <r>
    <s v="C4745"/>
    <x v="2"/>
    <d v="2023-01-24T00:00:00"/>
    <n v="7"/>
    <n v="152.85"/>
    <s v="Customer C4745"/>
    <x v="1"/>
    <x v="4"/>
    <x v="2"/>
    <n v="1069.95"/>
    <x v="6"/>
    <n v="2023"/>
    <s v="Low Sales"/>
  </r>
  <r>
    <s v="C3659"/>
    <x v="5"/>
    <d v="2023-11-08T00:00:00"/>
    <n v="8"/>
    <n v="664.71"/>
    <s v="Customer C3659"/>
    <x v="0"/>
    <x v="1"/>
    <x v="3"/>
    <n v="5317.68"/>
    <x v="7"/>
    <n v="2023"/>
    <s v="High Sales"/>
  </r>
  <r>
    <s v="C6647"/>
    <x v="4"/>
    <d v="2023-03-05T00:00:00"/>
    <n v="6"/>
    <n v="411.62"/>
    <s v="Customer C6647"/>
    <x v="2"/>
    <x v="4"/>
    <x v="0"/>
    <n v="2469.7199999999998"/>
    <x v="0"/>
    <n v="2023"/>
    <s v="High Sales"/>
  </r>
  <r>
    <s v="C8156"/>
    <x v="1"/>
    <d v="2023-10-02T00:00:00"/>
    <n v="1"/>
    <n v="88.6"/>
    <s v="Customer C8156"/>
    <x v="1"/>
    <x v="2"/>
    <x v="3"/>
    <n v="88.6"/>
    <x v="9"/>
    <n v="2023"/>
    <s v="Low Sales"/>
  </r>
  <r>
    <s v="C8988"/>
    <x v="5"/>
    <d v="2025-04-04T00:00:00"/>
    <n v="1"/>
    <n v="732.88"/>
    <s v="Customer C8988"/>
    <x v="2"/>
    <x v="4"/>
    <x v="3"/>
    <n v="732.88"/>
    <x v="3"/>
    <n v="2025"/>
    <s v="Low Sales"/>
  </r>
  <r>
    <s v="C2026"/>
    <x v="2"/>
    <d v="2024-06-07T00:00:00"/>
    <n v="2"/>
    <n v="143.87"/>
    <s v="Customer C2026"/>
    <x v="1"/>
    <x v="2"/>
    <x v="0"/>
    <n v="287.74"/>
    <x v="1"/>
    <n v="2024"/>
    <s v="Low Sales"/>
  </r>
  <r>
    <s v="C6070"/>
    <x v="4"/>
    <d v="2023-06-26T00:00:00"/>
    <n v="4"/>
    <n v="700.91"/>
    <s v="Customer C6070"/>
    <x v="2"/>
    <x v="1"/>
    <x v="4"/>
    <n v="2803.64"/>
    <x v="1"/>
    <n v="2023"/>
    <s v="High Sales"/>
  </r>
  <r>
    <s v="C3658"/>
    <x v="3"/>
    <d v="2024-02-08T00:00:00"/>
    <n v="6"/>
    <n v="27.4"/>
    <s v="Customer C3658"/>
    <x v="0"/>
    <x v="1"/>
    <x v="0"/>
    <n v="164.4"/>
    <x v="5"/>
    <n v="2024"/>
    <s v="Low Sales"/>
  </r>
  <r>
    <s v="C9771"/>
    <x v="5"/>
    <d v="2024-05-03T00:00:00"/>
    <n v="4"/>
    <n v="441.89"/>
    <s v="Customer C9771"/>
    <x v="1"/>
    <x v="1"/>
    <x v="1"/>
    <n v="1767.56"/>
    <x v="10"/>
    <n v="2024"/>
    <s v="Low Sales"/>
  </r>
  <r>
    <s v="C1280"/>
    <x v="2"/>
    <d v="2023-06-06T00:00:00"/>
    <n v="1"/>
    <n v="754.33"/>
    <s v="Customer C1280"/>
    <x v="1"/>
    <x v="2"/>
    <x v="2"/>
    <n v="754.33"/>
    <x v="1"/>
    <n v="2023"/>
    <s v="Low Sales"/>
  </r>
  <r>
    <s v="C9237"/>
    <x v="3"/>
    <d v="2024-06-05T00:00:00"/>
    <n v="5"/>
    <n v="24.07"/>
    <s v="Customer C9237"/>
    <x v="1"/>
    <x v="4"/>
    <x v="0"/>
    <n v="120.35"/>
    <x v="1"/>
    <n v="2024"/>
    <s v="Low Sales"/>
  </r>
  <r>
    <s v="C6759"/>
    <x v="1"/>
    <d v="2023-08-19T00:00:00"/>
    <n v="4"/>
    <n v="601.41999999999996"/>
    <s v="Customer C6759"/>
    <x v="1"/>
    <x v="3"/>
    <x v="0"/>
    <n v="2405.6799999999998"/>
    <x v="4"/>
    <n v="2023"/>
    <s v="High Sales"/>
  </r>
  <r>
    <s v="C3839"/>
    <x v="0"/>
    <d v="2025-06-15T00:00:00"/>
    <n v="2"/>
    <n v="154.1"/>
    <s v="Customer C3839"/>
    <x v="1"/>
    <x v="0"/>
    <x v="1"/>
    <n v="308.2"/>
    <x v="1"/>
    <n v="2025"/>
    <s v="Low Sales"/>
  </r>
  <r>
    <s v="C5898"/>
    <x v="2"/>
    <d v="2024-12-25T00:00:00"/>
    <n v="3"/>
    <n v="166.16"/>
    <s v="Customer C5898"/>
    <x v="0"/>
    <x v="4"/>
    <x v="0"/>
    <n v="498.48"/>
    <x v="8"/>
    <n v="2024"/>
    <s v="Low Sales"/>
  </r>
  <r>
    <s v="C1170"/>
    <x v="2"/>
    <d v="2025-02-26T00:00:00"/>
    <n v="6"/>
    <n v="156.78"/>
    <s v="Customer C1170"/>
    <x v="2"/>
    <x v="2"/>
    <x v="3"/>
    <n v="940.68000000000006"/>
    <x v="5"/>
    <n v="2025"/>
    <s v="Low Sales"/>
  </r>
  <r>
    <s v="C4953"/>
    <x v="6"/>
    <d v="2024-04-07T00:00:00"/>
    <n v="2"/>
    <n v="554.39"/>
    <s v="Customer C4953"/>
    <x v="2"/>
    <x v="3"/>
    <x v="0"/>
    <n v="1108.78"/>
    <x v="3"/>
    <n v="2024"/>
    <s v="Low Sales"/>
  </r>
  <r>
    <s v="C5402"/>
    <x v="0"/>
    <d v="2023-04-26T00:00:00"/>
    <n v="3"/>
    <n v="287.06"/>
    <s v="Customer C5402"/>
    <x v="2"/>
    <x v="0"/>
    <x v="1"/>
    <n v="861.18000000000006"/>
    <x v="3"/>
    <n v="2023"/>
    <s v="Low Sales"/>
  </r>
  <r>
    <s v="C3439"/>
    <x v="1"/>
    <d v="2024-04-19T00:00:00"/>
    <n v="6"/>
    <n v="39.6"/>
    <s v="Customer C3439"/>
    <x v="2"/>
    <x v="4"/>
    <x v="1"/>
    <n v="237.6"/>
    <x v="3"/>
    <n v="2024"/>
    <s v="Low Sales"/>
  </r>
  <r>
    <s v="C9101"/>
    <x v="6"/>
    <d v="2025-04-13T00:00:00"/>
    <n v="5"/>
    <n v="373.52"/>
    <s v="Customer C9101"/>
    <x v="0"/>
    <x v="2"/>
    <x v="3"/>
    <n v="1867.6"/>
    <x v="3"/>
    <n v="2025"/>
    <s v="Low Sales"/>
  </r>
  <r>
    <s v="C5797"/>
    <x v="3"/>
    <d v="2024-10-13T00:00:00"/>
    <n v="1"/>
    <n v="585.9"/>
    <s v="Customer C5797"/>
    <x v="2"/>
    <x v="1"/>
    <x v="1"/>
    <n v="585.9"/>
    <x v="9"/>
    <n v="2024"/>
    <s v="Low Sales"/>
  </r>
  <r>
    <s v="C4785"/>
    <x v="3"/>
    <d v="2023-04-13T00:00:00"/>
    <n v="2"/>
    <n v="406.89"/>
    <s v="Customer C4785"/>
    <x v="2"/>
    <x v="4"/>
    <x v="0"/>
    <n v="813.78"/>
    <x v="3"/>
    <n v="2023"/>
    <s v="Low Sales"/>
  </r>
  <r>
    <s v="C3124"/>
    <x v="1"/>
    <d v="2023-10-19T00:00:00"/>
    <n v="2"/>
    <n v="227.29"/>
    <s v="Customer C3124"/>
    <x v="0"/>
    <x v="3"/>
    <x v="4"/>
    <n v="454.58"/>
    <x v="9"/>
    <n v="2023"/>
    <s v="Low Sales"/>
  </r>
  <r>
    <s v="C9009"/>
    <x v="3"/>
    <d v="2024-06-07T00:00:00"/>
    <n v="4"/>
    <n v="772.9"/>
    <s v="Customer C9009"/>
    <x v="1"/>
    <x v="1"/>
    <x v="4"/>
    <n v="3091.6"/>
    <x v="1"/>
    <n v="2024"/>
    <s v="High Sales"/>
  </r>
  <r>
    <s v="C6024"/>
    <x v="5"/>
    <d v="2023-10-05T00:00:00"/>
    <n v="2"/>
    <n v="105.59"/>
    <s v="Customer C6024"/>
    <x v="0"/>
    <x v="1"/>
    <x v="2"/>
    <n v="211.18"/>
    <x v="9"/>
    <n v="2023"/>
    <s v="Low Sales"/>
  </r>
  <r>
    <s v="C9175"/>
    <x v="4"/>
    <d v="2024-05-27T00:00:00"/>
    <n v="3"/>
    <n v="627.98"/>
    <s v="Customer C9175"/>
    <x v="0"/>
    <x v="0"/>
    <x v="1"/>
    <n v="1883.94"/>
    <x v="10"/>
    <n v="2024"/>
    <s v="Low Sales"/>
  </r>
  <r>
    <s v="C1529"/>
    <x v="0"/>
    <d v="2025-01-10T00:00:00"/>
    <n v="7"/>
    <n v="177.77"/>
    <s v="Customer C1529"/>
    <x v="2"/>
    <x v="1"/>
    <x v="0"/>
    <n v="1244.3900000000001"/>
    <x v="6"/>
    <n v="2025"/>
    <s v="Low Sales"/>
  </r>
  <r>
    <s v="C4199"/>
    <x v="3"/>
    <d v="2023-07-09T00:00:00"/>
    <n v="7"/>
    <n v="512.21"/>
    <s v="Customer C4199"/>
    <x v="2"/>
    <x v="1"/>
    <x v="4"/>
    <n v="3585.47"/>
    <x v="11"/>
    <n v="2023"/>
    <s v="High Sales"/>
  </r>
  <r>
    <s v="C2981"/>
    <x v="0"/>
    <d v="2025-02-16T00:00:00"/>
    <n v="1"/>
    <n v="205.77"/>
    <s v="Customer C2981"/>
    <x v="1"/>
    <x v="0"/>
    <x v="0"/>
    <n v="205.77"/>
    <x v="5"/>
    <n v="2025"/>
    <s v="Low Sales"/>
  </r>
  <r>
    <s v="C6560"/>
    <x v="6"/>
    <d v="2024-02-28T00:00:00"/>
    <n v="8"/>
    <n v="68.13"/>
    <s v="Customer C6560"/>
    <x v="2"/>
    <x v="3"/>
    <x v="1"/>
    <n v="545.04"/>
    <x v="5"/>
    <n v="2024"/>
    <s v="Low Sales"/>
  </r>
  <r>
    <s v="C8333"/>
    <x v="1"/>
    <d v="2023-05-07T00:00:00"/>
    <n v="5"/>
    <n v="357.16"/>
    <s v="Customer C8333"/>
    <x v="0"/>
    <x v="1"/>
    <x v="1"/>
    <n v="1785.8"/>
    <x v="10"/>
    <n v="2023"/>
    <s v="Low Sales"/>
  </r>
  <r>
    <s v="C7291"/>
    <x v="4"/>
    <d v="2023-05-21T00:00:00"/>
    <n v="4"/>
    <n v="695.57"/>
    <s v="Customer C7291"/>
    <x v="0"/>
    <x v="0"/>
    <x v="1"/>
    <n v="2782.28"/>
    <x v="10"/>
    <n v="2023"/>
    <s v="High Sales"/>
  </r>
  <r>
    <s v="C9606"/>
    <x v="2"/>
    <d v="2024-04-11T00:00:00"/>
    <n v="3"/>
    <n v="260.33999999999997"/>
    <s v="Customer C9606"/>
    <x v="0"/>
    <x v="3"/>
    <x v="3"/>
    <n v="781.02"/>
    <x v="3"/>
    <n v="2024"/>
    <s v="Low Sales"/>
  </r>
  <r>
    <s v="C8236"/>
    <x v="6"/>
    <d v="2023-11-14T00:00:00"/>
    <n v="5"/>
    <n v="260.07"/>
    <s v="Customer C8236"/>
    <x v="2"/>
    <x v="4"/>
    <x v="3"/>
    <n v="1300.3499999999999"/>
    <x v="7"/>
    <n v="2023"/>
    <s v="Low Sales"/>
  </r>
  <r>
    <s v="C8417"/>
    <x v="2"/>
    <d v="2023-02-21T00:00:00"/>
    <n v="8"/>
    <n v="503.96"/>
    <s v="Customer C8417"/>
    <x v="2"/>
    <x v="0"/>
    <x v="4"/>
    <n v="4031.68"/>
    <x v="5"/>
    <n v="2023"/>
    <s v="High Sales"/>
  </r>
  <r>
    <s v="C8293"/>
    <x v="5"/>
    <d v="2023-07-07T00:00:00"/>
    <n v="3"/>
    <n v="427.78"/>
    <s v="Customer C8293"/>
    <x v="1"/>
    <x v="4"/>
    <x v="2"/>
    <n v="1283.3399999999999"/>
    <x v="11"/>
    <n v="2023"/>
    <s v="Low Sales"/>
  </r>
  <r>
    <s v="C9484"/>
    <x v="5"/>
    <d v="2023-06-05T00:00:00"/>
    <n v="3"/>
    <n v="51.15"/>
    <s v="Customer C9484"/>
    <x v="1"/>
    <x v="3"/>
    <x v="4"/>
    <n v="153.44999999999999"/>
    <x v="1"/>
    <n v="2023"/>
    <s v="Low Sales"/>
  </r>
  <r>
    <s v="C1086"/>
    <x v="1"/>
    <d v="2025-02-28T00:00:00"/>
    <n v="1"/>
    <n v="761.75"/>
    <s v="Customer C1086"/>
    <x v="1"/>
    <x v="1"/>
    <x v="1"/>
    <n v="761.75"/>
    <x v="5"/>
    <n v="2025"/>
    <s v="Low Sales"/>
  </r>
  <r>
    <s v="C6063"/>
    <x v="5"/>
    <d v="2024-06-09T00:00:00"/>
    <n v="8"/>
    <n v="409.67"/>
    <s v="Customer C6063"/>
    <x v="2"/>
    <x v="2"/>
    <x v="0"/>
    <n v="3277.36"/>
    <x v="1"/>
    <n v="2024"/>
    <s v="High Sales"/>
  </r>
  <r>
    <s v="C5842"/>
    <x v="6"/>
    <d v="2023-01-10T00:00:00"/>
    <n v="1"/>
    <n v="584.28"/>
    <s v="Customer C5842"/>
    <x v="1"/>
    <x v="0"/>
    <x v="3"/>
    <n v="584.28"/>
    <x v="6"/>
    <n v="2023"/>
    <s v="Low Sales"/>
  </r>
  <r>
    <s v="C9925"/>
    <x v="6"/>
    <d v="2024-07-14T00:00:00"/>
    <n v="8"/>
    <n v="393.38"/>
    <s v="Customer C9925"/>
    <x v="0"/>
    <x v="1"/>
    <x v="1"/>
    <n v="3147.04"/>
    <x v="11"/>
    <n v="2024"/>
    <s v="High Sales"/>
  </r>
  <r>
    <s v="C6458"/>
    <x v="3"/>
    <d v="2023-11-09T00:00:00"/>
    <n v="4"/>
    <n v="495.76"/>
    <s v="Customer C6458"/>
    <x v="0"/>
    <x v="1"/>
    <x v="4"/>
    <n v="1983.04"/>
    <x v="7"/>
    <n v="2023"/>
    <s v="Low Sales"/>
  </r>
  <r>
    <s v="C8476"/>
    <x v="4"/>
    <d v="2023-09-25T00:00:00"/>
    <n v="4"/>
    <n v="638.94000000000005"/>
    <s v="Customer C8476"/>
    <x v="1"/>
    <x v="0"/>
    <x v="0"/>
    <n v="2555.7600000000002"/>
    <x v="2"/>
    <n v="2023"/>
    <s v="High Sales"/>
  </r>
  <r>
    <s v="C7530"/>
    <x v="1"/>
    <d v="2023-11-17T00:00:00"/>
    <n v="3"/>
    <n v="441.01"/>
    <s v="Customer C7530"/>
    <x v="1"/>
    <x v="1"/>
    <x v="0"/>
    <n v="1323.03"/>
    <x v="7"/>
    <n v="2023"/>
    <s v="Low Sales"/>
  </r>
  <r>
    <s v="C6776"/>
    <x v="3"/>
    <d v="2023-08-19T00:00:00"/>
    <n v="2"/>
    <n v="756.25"/>
    <s v="Customer C6776"/>
    <x v="2"/>
    <x v="3"/>
    <x v="4"/>
    <n v="1512.5"/>
    <x v="4"/>
    <n v="2023"/>
    <s v="Low Sales"/>
  </r>
  <r>
    <s v="C2636"/>
    <x v="4"/>
    <d v="2023-09-25T00:00:00"/>
    <n v="3"/>
    <n v="406.42"/>
    <s v="Customer C2636"/>
    <x v="2"/>
    <x v="3"/>
    <x v="4"/>
    <n v="1219.26"/>
    <x v="2"/>
    <n v="2023"/>
    <s v="Low Sales"/>
  </r>
  <r>
    <s v="C4543"/>
    <x v="5"/>
    <d v="2023-06-24T00:00:00"/>
    <n v="6"/>
    <n v="715.37"/>
    <s v="Customer C4543"/>
    <x v="2"/>
    <x v="4"/>
    <x v="2"/>
    <n v="4292.22"/>
    <x v="1"/>
    <n v="2023"/>
    <s v="High Sales"/>
  </r>
  <r>
    <s v="C1706"/>
    <x v="4"/>
    <d v="2023-08-24T00:00:00"/>
    <n v="8"/>
    <n v="113.31"/>
    <s v="Customer C1706"/>
    <x v="1"/>
    <x v="2"/>
    <x v="4"/>
    <n v="906.48"/>
    <x v="4"/>
    <n v="2023"/>
    <s v="Low Sales"/>
  </r>
  <r>
    <s v="C8067"/>
    <x v="3"/>
    <d v="2024-08-24T00:00:00"/>
    <n v="7"/>
    <n v="217.75"/>
    <s v="Customer C8067"/>
    <x v="0"/>
    <x v="1"/>
    <x v="0"/>
    <n v="1524.25"/>
    <x v="4"/>
    <n v="2024"/>
    <s v="Low Sales"/>
  </r>
  <r>
    <s v="C8455"/>
    <x v="0"/>
    <d v="2024-12-22T00:00:00"/>
    <n v="7"/>
    <n v="437.14"/>
    <s v="Customer C8455"/>
    <x v="2"/>
    <x v="1"/>
    <x v="0"/>
    <n v="3059.98"/>
    <x v="8"/>
    <n v="2024"/>
    <s v="High Sales"/>
  </r>
  <r>
    <s v="C6758"/>
    <x v="5"/>
    <d v="2024-01-26T00:00:00"/>
    <n v="2"/>
    <n v="722.32"/>
    <s v="Customer C6758"/>
    <x v="0"/>
    <x v="1"/>
    <x v="2"/>
    <n v="1444.64"/>
    <x v="6"/>
    <n v="2024"/>
    <s v="Low Sales"/>
  </r>
  <r>
    <s v="C6524"/>
    <x v="2"/>
    <d v="2025-04-18T00:00:00"/>
    <n v="3"/>
    <n v="27.28"/>
    <s v="Customer C6524"/>
    <x v="2"/>
    <x v="1"/>
    <x v="0"/>
    <n v="81.84"/>
    <x v="3"/>
    <n v="2025"/>
    <s v="Low Sales"/>
  </r>
  <r>
    <s v="C5336"/>
    <x v="2"/>
    <d v="2023-06-08T00:00:00"/>
    <n v="6"/>
    <n v="215.4"/>
    <s v="Customer C5336"/>
    <x v="2"/>
    <x v="1"/>
    <x v="4"/>
    <n v="1292.4000000000001"/>
    <x v="1"/>
    <n v="2023"/>
    <s v="Low Sales"/>
  </r>
  <r>
    <s v="C8986"/>
    <x v="1"/>
    <d v="2025-05-26T00:00:00"/>
    <n v="8"/>
    <n v="432.92"/>
    <s v="Customer C8986"/>
    <x v="0"/>
    <x v="4"/>
    <x v="2"/>
    <n v="3463.36"/>
    <x v="10"/>
    <n v="2025"/>
    <s v="High Sales"/>
  </r>
  <r>
    <s v="C8988"/>
    <x v="6"/>
    <d v="2025-04-12T00:00:00"/>
    <n v="4"/>
    <n v="720.67"/>
    <s v="Customer C8988"/>
    <x v="1"/>
    <x v="0"/>
    <x v="4"/>
    <n v="2882.68"/>
    <x v="3"/>
    <n v="2025"/>
    <s v="High Sales"/>
  </r>
  <r>
    <s v="C3214"/>
    <x v="4"/>
    <d v="2023-03-01T00:00:00"/>
    <n v="3"/>
    <n v="449.93"/>
    <s v="Customer C3214"/>
    <x v="1"/>
    <x v="0"/>
    <x v="2"/>
    <n v="1349.79"/>
    <x v="0"/>
    <n v="2023"/>
    <s v="Low Sales"/>
  </r>
  <r>
    <s v="C2708"/>
    <x v="6"/>
    <d v="2024-02-06T00:00:00"/>
    <n v="6"/>
    <n v="329.82"/>
    <s v="Customer C2708"/>
    <x v="2"/>
    <x v="1"/>
    <x v="1"/>
    <n v="1978.92"/>
    <x v="5"/>
    <n v="2024"/>
    <s v="Low Sales"/>
  </r>
  <r>
    <s v="C8272"/>
    <x v="0"/>
    <d v="2023-07-28T00:00:00"/>
    <n v="4"/>
    <n v="309.29000000000002"/>
    <s v="Customer C8272"/>
    <x v="1"/>
    <x v="0"/>
    <x v="4"/>
    <n v="1237.1600000000001"/>
    <x v="11"/>
    <n v="2023"/>
    <s v="Low Sales"/>
  </r>
  <r>
    <s v="C2499"/>
    <x v="3"/>
    <d v="2023-01-24T00:00:00"/>
    <n v="7"/>
    <n v="482.97"/>
    <s v="Customer C2499"/>
    <x v="1"/>
    <x v="2"/>
    <x v="2"/>
    <n v="3380.79"/>
    <x v="6"/>
    <n v="2023"/>
    <s v="High Sales"/>
  </r>
  <r>
    <s v="C4272"/>
    <x v="0"/>
    <d v="2024-02-14T00:00:00"/>
    <n v="3"/>
    <n v="120.15"/>
    <s v="Customer C4272"/>
    <x v="2"/>
    <x v="3"/>
    <x v="0"/>
    <n v="360.45"/>
    <x v="5"/>
    <n v="2024"/>
    <s v="Low Sales"/>
  </r>
  <r>
    <s v="C8795"/>
    <x v="3"/>
    <d v="2024-11-20T00:00:00"/>
    <n v="8"/>
    <n v="519.87"/>
    <s v="Customer C8795"/>
    <x v="2"/>
    <x v="1"/>
    <x v="0"/>
    <n v="4158.96"/>
    <x v="7"/>
    <n v="2024"/>
    <s v="High Sales"/>
  </r>
  <r>
    <s v="C7896"/>
    <x v="2"/>
    <d v="2023-06-17T00:00:00"/>
    <n v="2"/>
    <n v="584.52"/>
    <s v="Customer C7896"/>
    <x v="1"/>
    <x v="4"/>
    <x v="0"/>
    <n v="1169.04"/>
    <x v="1"/>
    <n v="2023"/>
    <s v="Low Sales"/>
  </r>
  <r>
    <s v="C7132"/>
    <x v="2"/>
    <d v="2025-01-16T00:00:00"/>
    <n v="5"/>
    <n v="69.94"/>
    <s v="Customer C7132"/>
    <x v="2"/>
    <x v="1"/>
    <x v="0"/>
    <n v="349.7"/>
    <x v="6"/>
    <n v="2025"/>
    <s v="Low Sales"/>
  </r>
  <r>
    <s v="C8813"/>
    <x v="2"/>
    <d v="2024-04-04T00:00:00"/>
    <n v="2"/>
    <n v="57.6"/>
    <s v="Customer C8813"/>
    <x v="0"/>
    <x v="4"/>
    <x v="1"/>
    <n v="115.2"/>
    <x v="3"/>
    <n v="2024"/>
    <s v="Low Sales"/>
  </r>
  <r>
    <s v="C7147"/>
    <x v="3"/>
    <d v="2023-05-31T00:00:00"/>
    <n v="1"/>
    <n v="530.29"/>
    <s v="Customer C7147"/>
    <x v="1"/>
    <x v="2"/>
    <x v="2"/>
    <n v="530.29"/>
    <x v="10"/>
    <n v="2023"/>
    <s v="Low Sales"/>
  </r>
  <r>
    <s v="C7122"/>
    <x v="3"/>
    <d v="2024-06-29T00:00:00"/>
    <n v="4"/>
    <n v="661.91"/>
    <s v="Customer C7122"/>
    <x v="2"/>
    <x v="3"/>
    <x v="3"/>
    <n v="2647.64"/>
    <x v="1"/>
    <n v="2024"/>
    <s v="High Sales"/>
  </r>
  <r>
    <s v="C9835"/>
    <x v="3"/>
    <d v="2023-06-04T00:00:00"/>
    <n v="3"/>
    <n v="564.27"/>
    <s v="Customer C9835"/>
    <x v="0"/>
    <x v="2"/>
    <x v="0"/>
    <n v="1692.81"/>
    <x v="1"/>
    <n v="2023"/>
    <s v="Low Sales"/>
  </r>
  <r>
    <s v="C8158"/>
    <x v="1"/>
    <d v="2024-01-22T00:00:00"/>
    <n v="1"/>
    <n v="629.94000000000005"/>
    <s v="Customer C8158"/>
    <x v="2"/>
    <x v="2"/>
    <x v="4"/>
    <n v="629.94000000000005"/>
    <x v="6"/>
    <n v="2024"/>
    <s v="Low Sales"/>
  </r>
  <r>
    <s v="C5614"/>
    <x v="5"/>
    <d v="2025-02-11T00:00:00"/>
    <n v="7"/>
    <n v="263.67"/>
    <s v="Customer C5614"/>
    <x v="0"/>
    <x v="4"/>
    <x v="3"/>
    <n v="1845.69"/>
    <x v="5"/>
    <n v="2025"/>
    <s v="Low Sales"/>
  </r>
  <r>
    <s v="C4820"/>
    <x v="0"/>
    <d v="2024-01-14T00:00:00"/>
    <n v="2"/>
    <n v="348.71"/>
    <s v="Customer C4820"/>
    <x v="2"/>
    <x v="0"/>
    <x v="1"/>
    <n v="697.42"/>
    <x v="6"/>
    <n v="2024"/>
    <s v="Low Sales"/>
  </r>
  <r>
    <s v="C8245"/>
    <x v="5"/>
    <d v="2025-01-04T00:00:00"/>
    <n v="3"/>
    <n v="261.04000000000002"/>
    <s v="Customer C8245"/>
    <x v="0"/>
    <x v="3"/>
    <x v="1"/>
    <n v="783.12000000000012"/>
    <x v="6"/>
    <n v="2025"/>
    <s v="Low Sales"/>
  </r>
  <r>
    <s v="C6469"/>
    <x v="3"/>
    <d v="2023-11-01T00:00:00"/>
    <n v="7"/>
    <n v="568.24"/>
    <s v="Customer C6469"/>
    <x v="2"/>
    <x v="3"/>
    <x v="0"/>
    <n v="3977.68"/>
    <x v="7"/>
    <n v="2023"/>
    <s v="High Sales"/>
  </r>
  <r>
    <s v="C7357"/>
    <x v="1"/>
    <d v="2023-01-07T00:00:00"/>
    <n v="4"/>
    <n v="231.12"/>
    <s v="Customer C7357"/>
    <x v="1"/>
    <x v="2"/>
    <x v="1"/>
    <n v="924.48"/>
    <x v="6"/>
    <n v="2023"/>
    <s v="Low Sales"/>
  </r>
  <r>
    <s v="C4237"/>
    <x v="1"/>
    <d v="2023-04-01T00:00:00"/>
    <n v="1"/>
    <n v="432.34"/>
    <s v="Customer C4237"/>
    <x v="0"/>
    <x v="2"/>
    <x v="3"/>
    <n v="432.34"/>
    <x v="3"/>
    <n v="2023"/>
    <s v="Low Sales"/>
  </r>
  <r>
    <s v="C8124"/>
    <x v="6"/>
    <d v="2024-09-06T00:00:00"/>
    <n v="3"/>
    <n v="253.18"/>
    <s v="Customer C8124"/>
    <x v="2"/>
    <x v="0"/>
    <x v="1"/>
    <n v="759.54"/>
    <x v="2"/>
    <n v="2024"/>
    <s v="Low Sales"/>
  </r>
  <r>
    <s v="C5971"/>
    <x v="4"/>
    <d v="2024-05-23T00:00:00"/>
    <n v="7"/>
    <n v="481.25"/>
    <s v="Customer C5971"/>
    <x v="0"/>
    <x v="2"/>
    <x v="0"/>
    <n v="3368.75"/>
    <x v="10"/>
    <n v="2024"/>
    <s v="High Sales"/>
  </r>
  <r>
    <s v="C6316"/>
    <x v="4"/>
    <d v="2024-08-03T00:00:00"/>
    <n v="1"/>
    <n v="82.89"/>
    <s v="Customer C6316"/>
    <x v="2"/>
    <x v="3"/>
    <x v="3"/>
    <n v="82.89"/>
    <x v="4"/>
    <n v="2024"/>
    <s v="Low Sales"/>
  </r>
  <r>
    <s v="C3487"/>
    <x v="4"/>
    <d v="2023-07-14T00:00:00"/>
    <n v="1"/>
    <n v="745.08"/>
    <s v="Customer C3487"/>
    <x v="0"/>
    <x v="1"/>
    <x v="4"/>
    <n v="745.08"/>
    <x v="11"/>
    <n v="2023"/>
    <s v="Low Sales"/>
  </r>
  <r>
    <s v="C4025"/>
    <x v="3"/>
    <d v="2023-01-14T00:00:00"/>
    <n v="8"/>
    <n v="216.9"/>
    <s v="Customer C4025"/>
    <x v="0"/>
    <x v="2"/>
    <x v="1"/>
    <n v="1735.2"/>
    <x v="6"/>
    <n v="2023"/>
    <s v="Low Sales"/>
  </r>
  <r>
    <s v="C2772"/>
    <x v="1"/>
    <d v="2025-04-24T00:00:00"/>
    <n v="5"/>
    <n v="17.350000000000001"/>
    <s v="Customer C2772"/>
    <x v="2"/>
    <x v="0"/>
    <x v="0"/>
    <n v="86.75"/>
    <x v="3"/>
    <n v="2025"/>
    <s v="Low Sales"/>
  </r>
  <r>
    <s v="C5690"/>
    <x v="3"/>
    <d v="2024-10-29T00:00:00"/>
    <n v="8"/>
    <n v="530.29999999999995"/>
    <s v="Customer C5690"/>
    <x v="2"/>
    <x v="1"/>
    <x v="1"/>
    <n v="4242.3999999999996"/>
    <x v="9"/>
    <n v="2024"/>
    <s v="High Sales"/>
  </r>
  <r>
    <s v="C9173"/>
    <x v="4"/>
    <d v="2024-05-08T00:00:00"/>
    <n v="8"/>
    <n v="136.9"/>
    <s v="Customer C9173"/>
    <x v="2"/>
    <x v="3"/>
    <x v="0"/>
    <n v="1095.2"/>
    <x v="10"/>
    <n v="2024"/>
    <s v="Low Sales"/>
  </r>
  <r>
    <s v="C1014"/>
    <x v="2"/>
    <d v="2024-05-03T00:00:00"/>
    <n v="6"/>
    <n v="74.8"/>
    <s v="Customer C1014"/>
    <x v="2"/>
    <x v="0"/>
    <x v="4"/>
    <n v="448.8"/>
    <x v="10"/>
    <n v="2024"/>
    <s v="Low Sales"/>
  </r>
  <r>
    <s v="C5804"/>
    <x v="1"/>
    <d v="2023-05-22T00:00:00"/>
    <n v="6"/>
    <n v="464.08"/>
    <s v="Customer C5804"/>
    <x v="0"/>
    <x v="2"/>
    <x v="3"/>
    <n v="2784.48"/>
    <x v="10"/>
    <n v="2023"/>
    <s v="High Sales"/>
  </r>
  <r>
    <s v="C9650"/>
    <x v="1"/>
    <d v="2024-06-13T00:00:00"/>
    <n v="7"/>
    <n v="559.5"/>
    <s v="Customer C9650"/>
    <x v="2"/>
    <x v="1"/>
    <x v="2"/>
    <n v="3916.5"/>
    <x v="1"/>
    <n v="2024"/>
    <s v="High Sales"/>
  </r>
  <r>
    <s v="C2095"/>
    <x v="3"/>
    <d v="2023-12-01T00:00:00"/>
    <n v="1"/>
    <n v="414.6"/>
    <s v="Customer C2095"/>
    <x v="2"/>
    <x v="3"/>
    <x v="0"/>
    <n v="414.6"/>
    <x v="8"/>
    <n v="2023"/>
    <s v="Low Sales"/>
  </r>
  <r>
    <s v="C3267"/>
    <x v="1"/>
    <d v="2024-08-24T00:00:00"/>
    <n v="5"/>
    <n v="499.05"/>
    <s v="Customer C3267"/>
    <x v="0"/>
    <x v="4"/>
    <x v="4"/>
    <n v="2495.25"/>
    <x v="4"/>
    <n v="2024"/>
    <s v="High Sales"/>
  </r>
  <r>
    <s v="C4793"/>
    <x v="0"/>
    <d v="2025-05-23T00:00:00"/>
    <n v="1"/>
    <n v="77.64"/>
    <s v="Customer C4793"/>
    <x v="0"/>
    <x v="3"/>
    <x v="2"/>
    <n v="77.64"/>
    <x v="10"/>
    <n v="2025"/>
    <s v="Low Sales"/>
  </r>
  <r>
    <s v="C3925"/>
    <x v="4"/>
    <d v="2024-05-16T00:00:00"/>
    <n v="5"/>
    <n v="303.5"/>
    <s v="Customer C3925"/>
    <x v="0"/>
    <x v="1"/>
    <x v="3"/>
    <n v="1517.5"/>
    <x v="10"/>
    <n v="2024"/>
    <s v="Low Sales"/>
  </r>
  <r>
    <s v="C8628"/>
    <x v="3"/>
    <d v="2025-04-05T00:00:00"/>
    <n v="4"/>
    <n v="303.75"/>
    <s v="Customer C8628"/>
    <x v="0"/>
    <x v="1"/>
    <x v="1"/>
    <n v="1215"/>
    <x v="3"/>
    <n v="2025"/>
    <s v="Low Sales"/>
  </r>
  <r>
    <s v="C2436"/>
    <x v="1"/>
    <d v="2023-12-15T00:00:00"/>
    <n v="7"/>
    <n v="20.350000000000001"/>
    <s v="Customer C2436"/>
    <x v="1"/>
    <x v="1"/>
    <x v="3"/>
    <n v="142.44999999999999"/>
    <x v="8"/>
    <n v="2023"/>
    <s v="Low Sales"/>
  </r>
  <r>
    <s v="C3426"/>
    <x v="3"/>
    <d v="2023-03-24T00:00:00"/>
    <n v="3"/>
    <n v="365.61"/>
    <s v="Customer C3426"/>
    <x v="0"/>
    <x v="4"/>
    <x v="4"/>
    <n v="1096.83"/>
    <x v="0"/>
    <n v="2023"/>
    <s v="Low Sales"/>
  </r>
  <r>
    <s v="C2313"/>
    <x v="1"/>
    <d v="2024-02-15T00:00:00"/>
    <n v="1"/>
    <n v="516.73"/>
    <s v="Customer C2313"/>
    <x v="0"/>
    <x v="4"/>
    <x v="0"/>
    <n v="516.73"/>
    <x v="5"/>
    <n v="2024"/>
    <s v="Low Sales"/>
  </r>
  <r>
    <s v="C2768"/>
    <x v="1"/>
    <d v="2023-11-15T00:00:00"/>
    <n v="5"/>
    <n v="702.21"/>
    <s v="Customer C2768"/>
    <x v="0"/>
    <x v="2"/>
    <x v="3"/>
    <n v="3511.05"/>
    <x v="7"/>
    <n v="2023"/>
    <s v="High Sales"/>
  </r>
  <r>
    <s v="C1728"/>
    <x v="2"/>
    <d v="2023-02-28T00:00:00"/>
    <n v="8"/>
    <n v="110.05"/>
    <s v="Customer C1728"/>
    <x v="2"/>
    <x v="2"/>
    <x v="0"/>
    <n v="880.4"/>
    <x v="5"/>
    <n v="2023"/>
    <s v="Low Sales"/>
  </r>
  <r>
    <s v="C8563"/>
    <x v="4"/>
    <d v="2023-10-19T00:00:00"/>
    <n v="6"/>
    <n v="237.61"/>
    <s v="Customer C8563"/>
    <x v="0"/>
    <x v="1"/>
    <x v="0"/>
    <n v="1425.66"/>
    <x v="9"/>
    <n v="2023"/>
    <s v="Low Sales"/>
  </r>
  <r>
    <s v="C3492"/>
    <x v="4"/>
    <d v="2023-03-14T00:00:00"/>
    <n v="5"/>
    <n v="518.94000000000005"/>
    <s v="Customer C3492"/>
    <x v="1"/>
    <x v="1"/>
    <x v="1"/>
    <n v="2594.6999999999998"/>
    <x v="0"/>
    <n v="2023"/>
    <s v="High Sales"/>
  </r>
  <r>
    <s v="C8229"/>
    <x v="3"/>
    <d v="2024-10-21T00:00:00"/>
    <n v="7"/>
    <n v="27.92"/>
    <s v="Customer C8229"/>
    <x v="2"/>
    <x v="3"/>
    <x v="0"/>
    <n v="195.44"/>
    <x v="9"/>
    <n v="2024"/>
    <s v="Low Sales"/>
  </r>
  <r>
    <s v="C3316"/>
    <x v="4"/>
    <d v="2023-07-29T00:00:00"/>
    <n v="7"/>
    <n v="683.26"/>
    <s v="Customer C3316"/>
    <x v="2"/>
    <x v="2"/>
    <x v="0"/>
    <n v="4782.82"/>
    <x v="11"/>
    <n v="2023"/>
    <s v="High Sales"/>
  </r>
  <r>
    <s v="C9986"/>
    <x v="4"/>
    <d v="2024-04-27T00:00:00"/>
    <n v="4"/>
    <n v="684.41"/>
    <s v="Customer C9986"/>
    <x v="2"/>
    <x v="2"/>
    <x v="0"/>
    <n v="2737.64"/>
    <x v="3"/>
    <n v="2024"/>
    <s v="High Sales"/>
  </r>
  <r>
    <s v="C4446"/>
    <x v="3"/>
    <d v="2024-08-28T00:00:00"/>
    <n v="4"/>
    <n v="657.98"/>
    <s v="Customer C4446"/>
    <x v="2"/>
    <x v="2"/>
    <x v="4"/>
    <n v="2631.92"/>
    <x v="4"/>
    <n v="2024"/>
    <s v="High Sales"/>
  </r>
  <r>
    <s v="C6942"/>
    <x v="5"/>
    <d v="2024-09-15T00:00:00"/>
    <n v="1"/>
    <n v="349.98"/>
    <s v="Customer C6942"/>
    <x v="1"/>
    <x v="1"/>
    <x v="2"/>
    <n v="349.98"/>
    <x v="2"/>
    <n v="2024"/>
    <s v="Low Sales"/>
  </r>
  <r>
    <s v="C1186"/>
    <x v="1"/>
    <d v="2025-02-09T00:00:00"/>
    <n v="3"/>
    <n v="19.55"/>
    <s v="Customer C1186"/>
    <x v="0"/>
    <x v="2"/>
    <x v="3"/>
    <n v="58.650000000000013"/>
    <x v="5"/>
    <n v="2025"/>
    <s v="Low Sales"/>
  </r>
  <r>
    <s v="C2125"/>
    <x v="3"/>
    <d v="2023-07-23T00:00:00"/>
    <n v="6"/>
    <n v="383.87"/>
    <s v="Customer C2125"/>
    <x v="0"/>
    <x v="4"/>
    <x v="4"/>
    <n v="2303.2199999999998"/>
    <x v="11"/>
    <n v="2023"/>
    <s v="High Sales"/>
  </r>
  <r>
    <s v="C3190"/>
    <x v="2"/>
    <d v="2024-08-13T00:00:00"/>
    <n v="7"/>
    <n v="19.420000000000002"/>
    <s v="Customer C3190"/>
    <x v="1"/>
    <x v="3"/>
    <x v="3"/>
    <n v="135.94"/>
    <x v="4"/>
    <n v="2024"/>
    <s v="Low Sales"/>
  </r>
  <r>
    <s v="C4896"/>
    <x v="6"/>
    <d v="2023-03-12T00:00:00"/>
    <n v="3"/>
    <n v="555.37"/>
    <s v="Customer C4896"/>
    <x v="0"/>
    <x v="2"/>
    <x v="3"/>
    <n v="1666.11"/>
    <x v="0"/>
    <n v="2023"/>
    <s v="Low Sales"/>
  </r>
  <r>
    <s v="C5037"/>
    <x v="0"/>
    <d v="2025-05-02T00:00:00"/>
    <n v="4"/>
    <n v="10.25"/>
    <s v="Customer C5037"/>
    <x v="2"/>
    <x v="1"/>
    <x v="4"/>
    <n v="41"/>
    <x v="10"/>
    <n v="2025"/>
    <s v="Low Sales"/>
  </r>
  <r>
    <s v="C7760"/>
    <x v="3"/>
    <d v="2024-03-28T00:00:00"/>
    <n v="2"/>
    <n v="166.58"/>
    <s v="Customer C7760"/>
    <x v="0"/>
    <x v="4"/>
    <x v="3"/>
    <n v="333.16"/>
    <x v="0"/>
    <n v="2024"/>
    <s v="Low Sales"/>
  </r>
  <r>
    <s v="C7989"/>
    <x v="4"/>
    <d v="2025-03-03T00:00:00"/>
    <n v="2"/>
    <n v="624.33000000000004"/>
    <s v="Customer C7989"/>
    <x v="0"/>
    <x v="2"/>
    <x v="1"/>
    <n v="1248.6600000000001"/>
    <x v="0"/>
    <n v="2025"/>
    <s v="Low Sales"/>
  </r>
  <r>
    <s v="C2313"/>
    <x v="1"/>
    <d v="2024-09-18T00:00:00"/>
    <n v="7"/>
    <n v="133.05000000000001"/>
    <s v="Customer C2313"/>
    <x v="0"/>
    <x v="2"/>
    <x v="3"/>
    <n v="931.35000000000014"/>
    <x v="2"/>
    <n v="2024"/>
    <s v="Low Sales"/>
  </r>
  <r>
    <s v="C8121"/>
    <x v="4"/>
    <d v="2023-04-15T00:00:00"/>
    <n v="5"/>
    <n v="104.19"/>
    <s v="Customer C8121"/>
    <x v="0"/>
    <x v="3"/>
    <x v="4"/>
    <n v="520.95000000000005"/>
    <x v="3"/>
    <n v="2023"/>
    <s v="Low Sales"/>
  </r>
  <r>
    <s v="C7185"/>
    <x v="0"/>
    <d v="2024-07-26T00:00:00"/>
    <n v="3"/>
    <n v="516.73"/>
    <s v="Customer C7185"/>
    <x v="2"/>
    <x v="3"/>
    <x v="4"/>
    <n v="1550.19"/>
    <x v="11"/>
    <n v="2024"/>
    <s v="Low Sales"/>
  </r>
  <r>
    <s v="C6442"/>
    <x v="3"/>
    <d v="2024-10-12T00:00:00"/>
    <n v="3"/>
    <n v="88.31"/>
    <s v="Customer C6442"/>
    <x v="0"/>
    <x v="0"/>
    <x v="0"/>
    <n v="264.93"/>
    <x v="9"/>
    <n v="2024"/>
    <s v="Low Sales"/>
  </r>
  <r>
    <s v="C3732"/>
    <x v="2"/>
    <d v="2023-09-24T00:00:00"/>
    <n v="7"/>
    <n v="290.45"/>
    <s v="Customer C3732"/>
    <x v="0"/>
    <x v="3"/>
    <x v="0"/>
    <n v="2033.15"/>
    <x v="2"/>
    <n v="2023"/>
    <s v="High Sales"/>
  </r>
  <r>
    <s v="C4082"/>
    <x v="1"/>
    <d v="2024-06-18T00:00:00"/>
    <n v="3"/>
    <n v="531.92999999999995"/>
    <s v="Customer C4082"/>
    <x v="0"/>
    <x v="1"/>
    <x v="3"/>
    <n v="1595.79"/>
    <x v="1"/>
    <n v="2024"/>
    <s v="Low Sales"/>
  </r>
  <r>
    <s v="C9524"/>
    <x v="0"/>
    <d v="2024-07-20T00:00:00"/>
    <n v="5"/>
    <n v="702.3"/>
    <s v="Customer C9524"/>
    <x v="1"/>
    <x v="1"/>
    <x v="0"/>
    <n v="3511.5"/>
    <x v="11"/>
    <n v="2024"/>
    <s v="High Sales"/>
  </r>
  <r>
    <s v="C9958"/>
    <x v="4"/>
    <d v="2024-06-13T00:00:00"/>
    <n v="1"/>
    <n v="218.84"/>
    <s v="Customer C9958"/>
    <x v="1"/>
    <x v="3"/>
    <x v="0"/>
    <n v="218.84"/>
    <x v="1"/>
    <n v="2024"/>
    <s v="Low Sales"/>
  </r>
  <r>
    <s v="C1036"/>
    <x v="0"/>
    <d v="2023-10-20T00:00:00"/>
    <n v="3"/>
    <n v="221.64"/>
    <s v="Customer C1036"/>
    <x v="1"/>
    <x v="4"/>
    <x v="3"/>
    <n v="664.92"/>
    <x v="9"/>
    <n v="2023"/>
    <s v="Low Sales"/>
  </r>
  <r>
    <s v="C9702"/>
    <x v="1"/>
    <d v="2024-03-26T00:00:00"/>
    <n v="2"/>
    <n v="709.1"/>
    <s v="Customer C9702"/>
    <x v="2"/>
    <x v="0"/>
    <x v="3"/>
    <n v="1418.2"/>
    <x v="0"/>
    <n v="2024"/>
    <s v="Low Sales"/>
  </r>
  <r>
    <s v="C8406"/>
    <x v="6"/>
    <d v="2024-05-24T00:00:00"/>
    <n v="5"/>
    <n v="120.08"/>
    <s v="Customer C8406"/>
    <x v="0"/>
    <x v="1"/>
    <x v="3"/>
    <n v="600.4"/>
    <x v="10"/>
    <n v="2024"/>
    <s v="Low Sales"/>
  </r>
  <r>
    <s v="C7673"/>
    <x v="1"/>
    <d v="2024-12-13T00:00:00"/>
    <n v="5"/>
    <n v="63.8"/>
    <s v="Customer C7673"/>
    <x v="2"/>
    <x v="1"/>
    <x v="1"/>
    <n v="319"/>
    <x v="8"/>
    <n v="2024"/>
    <s v="Low Sales"/>
  </r>
  <r>
    <s v="C2860"/>
    <x v="4"/>
    <d v="2023-04-18T00:00:00"/>
    <n v="8"/>
    <n v="243.93"/>
    <s v="Customer C2860"/>
    <x v="2"/>
    <x v="0"/>
    <x v="3"/>
    <n v="1951.44"/>
    <x v="3"/>
    <n v="2023"/>
    <s v="Low Sales"/>
  </r>
  <r>
    <s v="C7108"/>
    <x v="5"/>
    <d v="2025-03-29T00:00:00"/>
    <n v="7"/>
    <n v="177.44"/>
    <s v="Customer C7108"/>
    <x v="1"/>
    <x v="4"/>
    <x v="1"/>
    <n v="1242.08"/>
    <x v="0"/>
    <n v="2025"/>
    <s v="Low Sales"/>
  </r>
  <r>
    <s v="C5298"/>
    <x v="0"/>
    <d v="2023-09-20T00:00:00"/>
    <n v="5"/>
    <n v="783.12"/>
    <s v="Customer C5298"/>
    <x v="0"/>
    <x v="1"/>
    <x v="0"/>
    <n v="3915.6"/>
    <x v="2"/>
    <n v="2023"/>
    <s v="High Sales"/>
  </r>
  <r>
    <s v="C7523"/>
    <x v="5"/>
    <d v="2023-10-11T00:00:00"/>
    <n v="3"/>
    <n v="756.71"/>
    <s v="Customer C7523"/>
    <x v="0"/>
    <x v="3"/>
    <x v="0"/>
    <n v="2270.13"/>
    <x v="9"/>
    <n v="2023"/>
    <s v="High Sales"/>
  </r>
  <r>
    <s v="C6372"/>
    <x v="5"/>
    <d v="2025-03-24T00:00:00"/>
    <n v="5"/>
    <n v="650.99"/>
    <s v="Customer C6372"/>
    <x v="1"/>
    <x v="0"/>
    <x v="1"/>
    <n v="3254.95"/>
    <x v="0"/>
    <n v="2025"/>
    <s v="High Sales"/>
  </r>
  <r>
    <s v="C6156"/>
    <x v="6"/>
    <d v="2024-03-27T00:00:00"/>
    <n v="6"/>
    <n v="386.68"/>
    <s v="Customer C6156"/>
    <x v="1"/>
    <x v="3"/>
    <x v="0"/>
    <n v="2320.08"/>
    <x v="0"/>
    <n v="2024"/>
    <s v="High Sales"/>
  </r>
  <r>
    <s v="C1186"/>
    <x v="1"/>
    <d v="2024-11-01T00:00:00"/>
    <n v="6"/>
    <n v="249.97"/>
    <s v="Customer C1186"/>
    <x v="2"/>
    <x v="2"/>
    <x v="4"/>
    <n v="1499.82"/>
    <x v="7"/>
    <n v="2024"/>
    <s v="Low Sales"/>
  </r>
  <r>
    <s v="C4169"/>
    <x v="5"/>
    <d v="2024-09-03T00:00:00"/>
    <n v="4"/>
    <n v="253.01"/>
    <s v="Customer C4169"/>
    <x v="0"/>
    <x v="2"/>
    <x v="1"/>
    <n v="1012.04"/>
    <x v="2"/>
    <n v="2024"/>
    <s v="Low Sales"/>
  </r>
  <r>
    <s v="C9957"/>
    <x v="0"/>
    <d v="2023-07-14T00:00:00"/>
    <n v="5"/>
    <n v="283.33999999999997"/>
    <s v="Customer C9957"/>
    <x v="0"/>
    <x v="1"/>
    <x v="3"/>
    <n v="1416.7"/>
    <x v="11"/>
    <n v="2023"/>
    <s v="Low Sales"/>
  </r>
  <r>
    <s v="C4648"/>
    <x v="5"/>
    <d v="2024-01-19T00:00:00"/>
    <n v="3"/>
    <n v="497.83"/>
    <s v="Customer C4648"/>
    <x v="0"/>
    <x v="4"/>
    <x v="4"/>
    <n v="1493.49"/>
    <x v="6"/>
    <n v="2024"/>
    <s v="Low Sales"/>
  </r>
  <r>
    <s v="C4859"/>
    <x v="1"/>
    <d v="2023-02-26T00:00:00"/>
    <n v="5"/>
    <n v="80.48"/>
    <s v="Customer C4859"/>
    <x v="1"/>
    <x v="0"/>
    <x v="2"/>
    <n v="402.4"/>
    <x v="5"/>
    <n v="2023"/>
    <s v="Low Sales"/>
  </r>
  <r>
    <s v="C9037"/>
    <x v="1"/>
    <d v="2024-11-17T00:00:00"/>
    <n v="7"/>
    <n v="362.5"/>
    <s v="Customer C9037"/>
    <x v="2"/>
    <x v="3"/>
    <x v="4"/>
    <n v="2537.5"/>
    <x v="7"/>
    <n v="2024"/>
    <s v="High Sales"/>
  </r>
  <r>
    <s v="C7621"/>
    <x v="5"/>
    <d v="2024-02-06T00:00:00"/>
    <n v="8"/>
    <n v="167.66"/>
    <s v="Customer C7621"/>
    <x v="1"/>
    <x v="2"/>
    <x v="4"/>
    <n v="1341.28"/>
    <x v="5"/>
    <n v="2024"/>
    <s v="Low Sales"/>
  </r>
  <r>
    <s v="C8220"/>
    <x v="2"/>
    <d v="2023-06-22T00:00:00"/>
    <n v="6"/>
    <n v="181.48"/>
    <s v="Customer C8220"/>
    <x v="0"/>
    <x v="2"/>
    <x v="0"/>
    <n v="1088.8800000000001"/>
    <x v="1"/>
    <n v="2023"/>
    <s v="Low Sales"/>
  </r>
  <r>
    <s v="C9034"/>
    <x v="4"/>
    <d v="2024-12-12T00:00:00"/>
    <n v="1"/>
    <n v="569.26"/>
    <s v="Customer C9034"/>
    <x v="1"/>
    <x v="0"/>
    <x v="4"/>
    <n v="569.26"/>
    <x v="8"/>
    <n v="2024"/>
    <s v="Low Sales"/>
  </r>
  <r>
    <s v="C6584"/>
    <x v="2"/>
    <d v="2024-01-07T00:00:00"/>
    <n v="1"/>
    <n v="656.2"/>
    <s v="Customer C6584"/>
    <x v="1"/>
    <x v="4"/>
    <x v="2"/>
    <n v="656.2"/>
    <x v="6"/>
    <n v="2024"/>
    <s v="Low Sales"/>
  </r>
  <r>
    <s v="C2696"/>
    <x v="5"/>
    <d v="2023-04-20T00:00:00"/>
    <n v="5"/>
    <n v="507.6"/>
    <s v="Customer C2696"/>
    <x v="2"/>
    <x v="2"/>
    <x v="0"/>
    <n v="2538"/>
    <x v="3"/>
    <n v="2023"/>
    <s v="High Sales"/>
  </r>
  <r>
    <s v="C6170"/>
    <x v="6"/>
    <d v="2023-11-04T00:00:00"/>
    <n v="5"/>
    <n v="641.44000000000005"/>
    <s v="Customer C6170"/>
    <x v="2"/>
    <x v="1"/>
    <x v="3"/>
    <n v="3207.2"/>
    <x v="7"/>
    <n v="2023"/>
    <s v="High Sales"/>
  </r>
  <r>
    <s v="C5535"/>
    <x v="0"/>
    <d v="2024-10-04T00:00:00"/>
    <n v="7"/>
    <n v="22.48"/>
    <s v="Customer C5535"/>
    <x v="2"/>
    <x v="3"/>
    <x v="3"/>
    <n v="157.36000000000001"/>
    <x v="9"/>
    <n v="2024"/>
    <s v="Low Sales"/>
  </r>
  <r>
    <s v="C3960"/>
    <x v="3"/>
    <d v="2023-06-02T00:00:00"/>
    <n v="6"/>
    <n v="196.74"/>
    <s v="Customer C3960"/>
    <x v="2"/>
    <x v="3"/>
    <x v="4"/>
    <n v="1180.44"/>
    <x v="1"/>
    <n v="2023"/>
    <s v="Low Sales"/>
  </r>
  <r>
    <s v="C4333"/>
    <x v="0"/>
    <d v="2024-04-14T00:00:00"/>
    <n v="1"/>
    <n v="348.09"/>
    <s v="Customer C4333"/>
    <x v="2"/>
    <x v="4"/>
    <x v="4"/>
    <n v="348.09"/>
    <x v="3"/>
    <n v="2024"/>
    <s v="Low Sales"/>
  </r>
  <r>
    <s v="C9581"/>
    <x v="1"/>
    <d v="2025-04-16T00:00:00"/>
    <n v="5"/>
    <n v="589.84"/>
    <s v="Customer C9581"/>
    <x v="0"/>
    <x v="0"/>
    <x v="4"/>
    <n v="2949.2"/>
    <x v="3"/>
    <n v="2025"/>
    <s v="High Sales"/>
  </r>
  <r>
    <s v="C1765"/>
    <x v="2"/>
    <d v="2024-12-18T00:00:00"/>
    <n v="3"/>
    <n v="549.78"/>
    <s v="Customer C1765"/>
    <x v="0"/>
    <x v="2"/>
    <x v="1"/>
    <n v="1649.34"/>
    <x v="8"/>
    <n v="2024"/>
    <s v="Low Sales"/>
  </r>
  <r>
    <s v="C8796"/>
    <x v="2"/>
    <d v="2023-02-28T00:00:00"/>
    <n v="6"/>
    <n v="125.46"/>
    <s v="Customer C8796"/>
    <x v="1"/>
    <x v="1"/>
    <x v="4"/>
    <n v="752.76"/>
    <x v="5"/>
    <n v="2023"/>
    <s v="Low Sales"/>
  </r>
  <r>
    <s v="C7799"/>
    <x v="4"/>
    <d v="2023-10-27T00:00:00"/>
    <n v="5"/>
    <n v="318.33"/>
    <s v="Customer C7799"/>
    <x v="1"/>
    <x v="1"/>
    <x v="3"/>
    <n v="1591.65"/>
    <x v="9"/>
    <n v="2023"/>
    <s v="Low Sales"/>
  </r>
  <r>
    <s v="C1587"/>
    <x v="0"/>
    <d v="2023-08-19T00:00:00"/>
    <n v="3"/>
    <n v="584.74"/>
    <s v="Customer C1587"/>
    <x v="1"/>
    <x v="3"/>
    <x v="2"/>
    <n v="1754.22"/>
    <x v="4"/>
    <n v="2023"/>
    <s v="Low Sales"/>
  </r>
  <r>
    <s v="C3056"/>
    <x v="5"/>
    <d v="2024-07-09T00:00:00"/>
    <n v="1"/>
    <n v="184.5"/>
    <s v="Customer C3056"/>
    <x v="0"/>
    <x v="1"/>
    <x v="0"/>
    <n v="184.5"/>
    <x v="11"/>
    <n v="2024"/>
    <s v="Low Sales"/>
  </r>
  <r>
    <s v="C7457"/>
    <x v="3"/>
    <d v="2024-07-27T00:00:00"/>
    <n v="6"/>
    <n v="740.37"/>
    <s v="Customer C7457"/>
    <x v="2"/>
    <x v="4"/>
    <x v="2"/>
    <n v="4442.22"/>
    <x v="11"/>
    <n v="2024"/>
    <s v="High Sales"/>
  </r>
  <r>
    <s v="C4413"/>
    <x v="4"/>
    <d v="2023-12-20T00:00:00"/>
    <n v="4"/>
    <n v="285.58999999999997"/>
    <s v="Customer C4413"/>
    <x v="1"/>
    <x v="4"/>
    <x v="3"/>
    <n v="1142.3599999999999"/>
    <x v="8"/>
    <n v="2023"/>
    <s v="Low Sales"/>
  </r>
  <r>
    <s v="C7999"/>
    <x v="4"/>
    <d v="2024-07-19T00:00:00"/>
    <n v="5"/>
    <n v="321.33"/>
    <s v="Customer C7999"/>
    <x v="1"/>
    <x v="2"/>
    <x v="3"/>
    <n v="1606.65"/>
    <x v="11"/>
    <n v="2024"/>
    <s v="Low Sales"/>
  </r>
  <r>
    <s v="C6627"/>
    <x v="6"/>
    <d v="2024-01-28T00:00:00"/>
    <n v="5"/>
    <n v="251.41"/>
    <s v="Customer C6627"/>
    <x v="0"/>
    <x v="1"/>
    <x v="4"/>
    <n v="1257.05"/>
    <x v="6"/>
    <n v="2024"/>
    <s v="Low Sales"/>
  </r>
  <r>
    <s v="C4690"/>
    <x v="6"/>
    <d v="2025-03-24T00:00:00"/>
    <n v="3"/>
    <n v="389.68"/>
    <s v="Customer C4690"/>
    <x v="2"/>
    <x v="2"/>
    <x v="2"/>
    <n v="1169.04"/>
    <x v="0"/>
    <n v="2025"/>
    <s v="Low Sales"/>
  </r>
  <r>
    <s v="C8727"/>
    <x v="2"/>
    <d v="2023-02-17T00:00:00"/>
    <n v="3"/>
    <n v="577.13"/>
    <s v="Customer C8727"/>
    <x v="0"/>
    <x v="1"/>
    <x v="1"/>
    <n v="1731.39"/>
    <x v="5"/>
    <n v="2023"/>
    <s v="Low Sales"/>
  </r>
  <r>
    <s v="C7462"/>
    <x v="3"/>
    <d v="2024-05-11T00:00:00"/>
    <n v="4"/>
    <n v="619.33000000000004"/>
    <s v="Customer C7462"/>
    <x v="2"/>
    <x v="1"/>
    <x v="1"/>
    <n v="2477.3200000000002"/>
    <x v="10"/>
    <n v="2024"/>
    <s v="High Sales"/>
  </r>
  <r>
    <s v="C9039"/>
    <x v="3"/>
    <d v="2023-11-20T00:00:00"/>
    <n v="2"/>
    <n v="515.97"/>
    <s v="Customer C9039"/>
    <x v="2"/>
    <x v="4"/>
    <x v="2"/>
    <n v="1031.94"/>
    <x v="7"/>
    <n v="2023"/>
    <s v="Low Sales"/>
  </r>
  <r>
    <s v="C1296"/>
    <x v="2"/>
    <d v="2023-10-29T00:00:00"/>
    <n v="4"/>
    <n v="598.12"/>
    <s v="Customer C1296"/>
    <x v="0"/>
    <x v="3"/>
    <x v="4"/>
    <n v="2392.48"/>
    <x v="9"/>
    <n v="2023"/>
    <s v="High Sales"/>
  </r>
  <r>
    <s v="C8751"/>
    <x v="2"/>
    <d v="2023-02-04T00:00:00"/>
    <n v="5"/>
    <n v="645.6"/>
    <s v="Customer C8751"/>
    <x v="0"/>
    <x v="3"/>
    <x v="0"/>
    <n v="3228"/>
    <x v="5"/>
    <n v="2023"/>
    <s v="High Sales"/>
  </r>
  <r>
    <s v="C6278"/>
    <x v="4"/>
    <d v="2025-05-09T00:00:00"/>
    <n v="4"/>
    <n v="708.45"/>
    <s v="Customer C6278"/>
    <x v="2"/>
    <x v="2"/>
    <x v="1"/>
    <n v="2833.8"/>
    <x v="10"/>
    <n v="2025"/>
    <s v="High Sales"/>
  </r>
  <r>
    <s v="C5514"/>
    <x v="0"/>
    <d v="2023-09-06T00:00:00"/>
    <n v="7"/>
    <n v="86.92"/>
    <s v="Customer C5514"/>
    <x v="0"/>
    <x v="0"/>
    <x v="3"/>
    <n v="608.44000000000005"/>
    <x v="2"/>
    <n v="2023"/>
    <s v="Low Sales"/>
  </r>
  <r>
    <s v="C5504"/>
    <x v="3"/>
    <d v="2023-10-30T00:00:00"/>
    <n v="1"/>
    <n v="376.02"/>
    <s v="Customer C5504"/>
    <x v="1"/>
    <x v="0"/>
    <x v="4"/>
    <n v="376.02"/>
    <x v="9"/>
    <n v="2023"/>
    <s v="Low Sales"/>
  </r>
  <r>
    <s v="C2865"/>
    <x v="3"/>
    <d v="2025-05-06T00:00:00"/>
    <n v="4"/>
    <n v="533.61"/>
    <s v="Customer C2865"/>
    <x v="2"/>
    <x v="2"/>
    <x v="0"/>
    <n v="2134.44"/>
    <x v="10"/>
    <n v="2025"/>
    <s v="High Sales"/>
  </r>
  <r>
    <s v="C3364"/>
    <x v="0"/>
    <d v="2023-05-17T00:00:00"/>
    <n v="8"/>
    <n v="367.53"/>
    <s v="Customer C3364"/>
    <x v="0"/>
    <x v="4"/>
    <x v="0"/>
    <n v="2940.24"/>
    <x v="10"/>
    <n v="2023"/>
    <s v="High Sales"/>
  </r>
  <r>
    <s v="C4755"/>
    <x v="5"/>
    <d v="2023-12-02T00:00:00"/>
    <n v="2"/>
    <n v="27.94"/>
    <s v="Customer C4755"/>
    <x v="0"/>
    <x v="2"/>
    <x v="4"/>
    <n v="55.88"/>
    <x v="8"/>
    <n v="2023"/>
    <s v="Low Sales"/>
  </r>
  <r>
    <s v="C4013"/>
    <x v="5"/>
    <d v="2024-01-31T00:00:00"/>
    <n v="7"/>
    <n v="249.65"/>
    <s v="Customer C4013"/>
    <x v="0"/>
    <x v="3"/>
    <x v="4"/>
    <n v="1747.55"/>
    <x v="6"/>
    <n v="2024"/>
    <s v="Low Sales"/>
  </r>
  <r>
    <s v="C6614"/>
    <x v="1"/>
    <d v="2024-12-21T00:00:00"/>
    <n v="5"/>
    <n v="37.74"/>
    <s v="Customer C6614"/>
    <x v="0"/>
    <x v="4"/>
    <x v="4"/>
    <n v="188.7"/>
    <x v="8"/>
    <n v="2024"/>
    <s v="Low Sales"/>
  </r>
  <r>
    <s v="C5482"/>
    <x v="6"/>
    <d v="2025-05-05T00:00:00"/>
    <n v="8"/>
    <n v="286.36"/>
    <s v="Customer C5482"/>
    <x v="2"/>
    <x v="0"/>
    <x v="0"/>
    <n v="2290.88"/>
    <x v="10"/>
    <n v="2025"/>
    <s v="High Sales"/>
  </r>
  <r>
    <s v="C3677"/>
    <x v="6"/>
    <d v="2024-12-15T00:00:00"/>
    <n v="5"/>
    <n v="614.32000000000005"/>
    <s v="Customer C3677"/>
    <x v="2"/>
    <x v="1"/>
    <x v="1"/>
    <n v="3071.6"/>
    <x v="8"/>
    <n v="2024"/>
    <s v="High Sales"/>
  </r>
  <r>
    <s v="C5933"/>
    <x v="2"/>
    <d v="2024-12-09T00:00:00"/>
    <n v="7"/>
    <n v="172.77"/>
    <s v="Customer C5933"/>
    <x v="2"/>
    <x v="1"/>
    <x v="2"/>
    <n v="1209.3900000000001"/>
    <x v="8"/>
    <n v="2024"/>
    <s v="Low Sales"/>
  </r>
  <r>
    <s v="C5348"/>
    <x v="5"/>
    <d v="2024-08-20T00:00:00"/>
    <n v="7"/>
    <n v="458.02"/>
    <s v="Customer C5348"/>
    <x v="2"/>
    <x v="2"/>
    <x v="4"/>
    <n v="3206.14"/>
    <x v="4"/>
    <n v="2024"/>
    <s v="High Sales"/>
  </r>
  <r>
    <s v="C1470"/>
    <x v="4"/>
    <d v="2024-12-17T00:00:00"/>
    <n v="1"/>
    <n v="40.96"/>
    <s v="Customer C1470"/>
    <x v="0"/>
    <x v="3"/>
    <x v="3"/>
    <n v="40.96"/>
    <x v="8"/>
    <n v="2024"/>
    <s v="Low Sales"/>
  </r>
  <r>
    <s v="C4479"/>
    <x v="0"/>
    <d v="2025-06-21T00:00:00"/>
    <n v="2"/>
    <n v="82.97"/>
    <s v="Customer C4479"/>
    <x v="0"/>
    <x v="2"/>
    <x v="2"/>
    <n v="165.94"/>
    <x v="1"/>
    <n v="2025"/>
    <s v="Low Sales"/>
  </r>
  <r>
    <s v="C2379"/>
    <x v="4"/>
    <d v="2024-06-26T00:00:00"/>
    <n v="1"/>
    <n v="211.3"/>
    <s v="Customer C2379"/>
    <x v="0"/>
    <x v="0"/>
    <x v="4"/>
    <n v="211.3"/>
    <x v="1"/>
    <n v="2024"/>
    <s v="Low Sales"/>
  </r>
  <r>
    <s v="C2401"/>
    <x v="4"/>
    <d v="2025-04-13T00:00:00"/>
    <n v="5"/>
    <n v="206.8"/>
    <s v="Customer C2401"/>
    <x v="1"/>
    <x v="1"/>
    <x v="2"/>
    <n v="1034"/>
    <x v="3"/>
    <n v="2025"/>
    <s v="Low Sales"/>
  </r>
  <r>
    <s v="C6079"/>
    <x v="6"/>
    <d v="2023-09-23T00:00:00"/>
    <n v="3"/>
    <n v="234.42"/>
    <s v="Customer C6079"/>
    <x v="1"/>
    <x v="0"/>
    <x v="3"/>
    <n v="703.26"/>
    <x v="2"/>
    <n v="2023"/>
    <s v="Low Sales"/>
  </r>
  <r>
    <s v="C3498"/>
    <x v="2"/>
    <d v="2024-04-28T00:00:00"/>
    <n v="5"/>
    <n v="92.37"/>
    <s v="Customer C3498"/>
    <x v="1"/>
    <x v="0"/>
    <x v="4"/>
    <n v="461.85"/>
    <x v="3"/>
    <n v="2024"/>
    <s v="Low Sales"/>
  </r>
  <r>
    <s v="C8741"/>
    <x v="5"/>
    <d v="2023-12-02T00:00:00"/>
    <n v="1"/>
    <n v="417.54"/>
    <s v="Customer C8741"/>
    <x v="1"/>
    <x v="4"/>
    <x v="0"/>
    <n v="417.54"/>
    <x v="8"/>
    <n v="2023"/>
    <s v="Low Sales"/>
  </r>
  <r>
    <s v="C4069"/>
    <x v="2"/>
    <d v="2024-06-15T00:00:00"/>
    <n v="6"/>
    <n v="565.54"/>
    <s v="Customer C4069"/>
    <x v="0"/>
    <x v="4"/>
    <x v="0"/>
    <n v="3393.24"/>
    <x v="1"/>
    <n v="2024"/>
    <s v="High Sales"/>
  </r>
  <r>
    <s v="C7058"/>
    <x v="2"/>
    <d v="2025-05-20T00:00:00"/>
    <n v="3"/>
    <n v="539.44000000000005"/>
    <s v="Customer C7058"/>
    <x v="1"/>
    <x v="1"/>
    <x v="0"/>
    <n v="1618.32"/>
    <x v="10"/>
    <n v="2025"/>
    <s v="Low Sales"/>
  </r>
  <r>
    <s v="C4451"/>
    <x v="1"/>
    <d v="2025-06-11T00:00:00"/>
    <n v="5"/>
    <n v="764.37"/>
    <s v="Customer C4451"/>
    <x v="2"/>
    <x v="1"/>
    <x v="0"/>
    <n v="3821.85"/>
    <x v="1"/>
    <n v="2025"/>
    <s v="High Sales"/>
  </r>
  <r>
    <s v="C7544"/>
    <x v="2"/>
    <d v="2024-12-15T00:00:00"/>
    <n v="7"/>
    <n v="584.79999999999995"/>
    <s v="Customer C7544"/>
    <x v="0"/>
    <x v="4"/>
    <x v="2"/>
    <n v="4093.599999999999"/>
    <x v="8"/>
    <n v="2024"/>
    <s v="High Sales"/>
  </r>
  <r>
    <s v="C7004"/>
    <x v="1"/>
    <d v="2024-06-15T00:00:00"/>
    <n v="5"/>
    <n v="448.93"/>
    <s v="Customer C7004"/>
    <x v="2"/>
    <x v="3"/>
    <x v="0"/>
    <n v="2244.65"/>
    <x v="1"/>
    <n v="2024"/>
    <s v="High Sales"/>
  </r>
  <r>
    <s v="C4822"/>
    <x v="0"/>
    <d v="2023-12-22T00:00:00"/>
    <n v="4"/>
    <n v="573.19000000000005"/>
    <s v="Customer C4822"/>
    <x v="2"/>
    <x v="2"/>
    <x v="0"/>
    <n v="2292.7600000000002"/>
    <x v="8"/>
    <n v="2023"/>
    <s v="High Sales"/>
  </r>
  <r>
    <s v="C6424"/>
    <x v="3"/>
    <d v="2025-02-26T00:00:00"/>
    <n v="2"/>
    <n v="15.63"/>
    <s v="Customer C6424"/>
    <x v="2"/>
    <x v="2"/>
    <x v="0"/>
    <n v="31.26"/>
    <x v="5"/>
    <n v="2025"/>
    <s v="Low Sales"/>
  </r>
  <r>
    <s v="C2011"/>
    <x v="0"/>
    <d v="2025-06-06T00:00:00"/>
    <n v="1"/>
    <n v="580.53"/>
    <s v="Customer C2011"/>
    <x v="1"/>
    <x v="3"/>
    <x v="3"/>
    <n v="580.53"/>
    <x v="1"/>
    <n v="2025"/>
    <s v="Low Sales"/>
  </r>
  <r>
    <s v="C1482"/>
    <x v="3"/>
    <d v="2023-11-20T00:00:00"/>
    <n v="3"/>
    <n v="380.5"/>
    <s v="Customer C1482"/>
    <x v="1"/>
    <x v="3"/>
    <x v="1"/>
    <n v="1141.5"/>
    <x v="7"/>
    <n v="2023"/>
    <s v="Low Sales"/>
  </r>
  <r>
    <s v="C9229"/>
    <x v="4"/>
    <d v="2024-03-02T00:00:00"/>
    <n v="3"/>
    <n v="357.45"/>
    <s v="Customer C9229"/>
    <x v="1"/>
    <x v="4"/>
    <x v="1"/>
    <n v="1072.3499999999999"/>
    <x v="0"/>
    <n v="2024"/>
    <s v="Low Sales"/>
  </r>
  <r>
    <s v="C6441"/>
    <x v="3"/>
    <d v="2025-03-04T00:00:00"/>
    <n v="8"/>
    <n v="549.37"/>
    <s v="Customer C6441"/>
    <x v="1"/>
    <x v="3"/>
    <x v="1"/>
    <n v="4394.96"/>
    <x v="0"/>
    <n v="2025"/>
    <s v="High Sales"/>
  </r>
  <r>
    <s v="C5066"/>
    <x v="5"/>
    <d v="2024-05-25T00:00:00"/>
    <n v="1"/>
    <n v="511.82"/>
    <s v="Customer C5066"/>
    <x v="0"/>
    <x v="4"/>
    <x v="1"/>
    <n v="511.82"/>
    <x v="10"/>
    <n v="2024"/>
    <s v="Low Sales"/>
  </r>
  <r>
    <s v="C8642"/>
    <x v="0"/>
    <d v="2023-04-22T00:00:00"/>
    <n v="7"/>
    <n v="191.68"/>
    <s v="Customer C8642"/>
    <x v="2"/>
    <x v="0"/>
    <x v="2"/>
    <n v="1341.76"/>
    <x v="3"/>
    <n v="2023"/>
    <s v="Low Sales"/>
  </r>
  <r>
    <s v="C6415"/>
    <x v="6"/>
    <d v="2024-10-17T00:00:00"/>
    <n v="5"/>
    <n v="689.03"/>
    <s v="Customer C6415"/>
    <x v="2"/>
    <x v="4"/>
    <x v="3"/>
    <n v="3445.15"/>
    <x v="9"/>
    <n v="2024"/>
    <s v="High Sales"/>
  </r>
  <r>
    <s v="C7510"/>
    <x v="4"/>
    <d v="2025-05-13T00:00:00"/>
    <n v="1"/>
    <n v="47.66"/>
    <s v="Customer C7510"/>
    <x v="0"/>
    <x v="0"/>
    <x v="2"/>
    <n v="47.66"/>
    <x v="10"/>
    <n v="2025"/>
    <s v="Low Sales"/>
  </r>
  <r>
    <s v="C5975"/>
    <x v="0"/>
    <d v="2025-02-19T00:00:00"/>
    <n v="8"/>
    <n v="584.83000000000004"/>
    <s v="Customer C5975"/>
    <x v="0"/>
    <x v="4"/>
    <x v="1"/>
    <n v="4678.6400000000003"/>
    <x v="5"/>
    <n v="2025"/>
    <s v="High Sales"/>
  </r>
  <r>
    <s v="C2406"/>
    <x v="6"/>
    <d v="2024-02-26T00:00:00"/>
    <n v="6"/>
    <n v="314.52999999999997"/>
    <s v="Customer C2406"/>
    <x v="0"/>
    <x v="1"/>
    <x v="3"/>
    <n v="1887.18"/>
    <x v="5"/>
    <n v="2024"/>
    <s v="Low Sales"/>
  </r>
  <r>
    <s v="C9248"/>
    <x v="6"/>
    <d v="2023-10-17T00:00:00"/>
    <n v="6"/>
    <n v="578.51"/>
    <s v="Customer C9248"/>
    <x v="0"/>
    <x v="3"/>
    <x v="2"/>
    <n v="3471.06"/>
    <x v="9"/>
    <n v="2023"/>
    <s v="High Sales"/>
  </r>
  <r>
    <s v="C2232"/>
    <x v="1"/>
    <d v="2023-10-03T00:00:00"/>
    <n v="8"/>
    <n v="618.30999999999995"/>
    <s v="Customer C2232"/>
    <x v="0"/>
    <x v="0"/>
    <x v="0"/>
    <n v="4946.4799999999996"/>
    <x v="9"/>
    <n v="2023"/>
    <s v="High Sales"/>
  </r>
  <r>
    <s v="C3932"/>
    <x v="4"/>
    <d v="2024-10-09T00:00:00"/>
    <n v="1"/>
    <n v="458.66"/>
    <s v="Customer C3932"/>
    <x v="2"/>
    <x v="3"/>
    <x v="2"/>
    <n v="458.66"/>
    <x v="9"/>
    <n v="2024"/>
    <s v="Low Sales"/>
  </r>
  <r>
    <s v="C2191"/>
    <x v="2"/>
    <d v="2024-12-16T00:00:00"/>
    <n v="6"/>
    <n v="396.06"/>
    <s v="Customer C2191"/>
    <x v="1"/>
    <x v="2"/>
    <x v="1"/>
    <n v="2376.36"/>
    <x v="8"/>
    <n v="2024"/>
    <s v="High Sales"/>
  </r>
  <r>
    <s v="C4901"/>
    <x v="3"/>
    <d v="2025-06-22T00:00:00"/>
    <n v="7"/>
    <n v="285.58999999999997"/>
    <s v="Customer C4901"/>
    <x v="0"/>
    <x v="0"/>
    <x v="3"/>
    <n v="1999.13"/>
    <x v="1"/>
    <n v="2025"/>
    <s v="Low Sales"/>
  </r>
  <r>
    <s v="C5830"/>
    <x v="5"/>
    <d v="2024-11-21T00:00:00"/>
    <n v="8"/>
    <n v="589.92999999999995"/>
    <s v="Customer C5830"/>
    <x v="2"/>
    <x v="1"/>
    <x v="1"/>
    <n v="4719.4399999999996"/>
    <x v="7"/>
    <n v="2024"/>
    <s v="High Sales"/>
  </r>
  <r>
    <s v="C7526"/>
    <x v="6"/>
    <d v="2025-01-05T00:00:00"/>
    <n v="1"/>
    <n v="85.22"/>
    <s v="Customer C7526"/>
    <x v="0"/>
    <x v="0"/>
    <x v="0"/>
    <n v="85.22"/>
    <x v="6"/>
    <n v="2025"/>
    <s v="Low Sales"/>
  </r>
  <r>
    <s v="C6632"/>
    <x v="1"/>
    <d v="2023-04-23T00:00:00"/>
    <n v="1"/>
    <n v="358.65"/>
    <s v="Customer C6632"/>
    <x v="1"/>
    <x v="4"/>
    <x v="2"/>
    <n v="358.65"/>
    <x v="3"/>
    <n v="2023"/>
    <s v="Low Sales"/>
  </r>
  <r>
    <s v="C4118"/>
    <x v="2"/>
    <d v="2024-11-12T00:00:00"/>
    <n v="3"/>
    <n v="565.63"/>
    <s v="Customer C4118"/>
    <x v="2"/>
    <x v="0"/>
    <x v="1"/>
    <n v="1696.89"/>
    <x v="7"/>
    <n v="2024"/>
    <s v="Low Sales"/>
  </r>
  <r>
    <s v="C7661"/>
    <x v="5"/>
    <d v="2023-07-09T00:00:00"/>
    <n v="7"/>
    <n v="560.67999999999995"/>
    <s v="Customer C7661"/>
    <x v="1"/>
    <x v="1"/>
    <x v="3"/>
    <n v="3924.76"/>
    <x v="11"/>
    <n v="2023"/>
    <s v="High Sales"/>
  </r>
  <r>
    <s v="C6873"/>
    <x v="3"/>
    <d v="2025-01-03T00:00:00"/>
    <n v="1"/>
    <n v="12.7"/>
    <s v="Customer C6873"/>
    <x v="1"/>
    <x v="4"/>
    <x v="0"/>
    <n v="12.7"/>
    <x v="6"/>
    <n v="2025"/>
    <s v="Low Sales"/>
  </r>
  <r>
    <s v="C1570"/>
    <x v="1"/>
    <d v="2024-11-25T00:00:00"/>
    <n v="7"/>
    <n v="352.27"/>
    <s v="Customer C1570"/>
    <x v="0"/>
    <x v="3"/>
    <x v="3"/>
    <n v="2465.89"/>
    <x v="7"/>
    <n v="2024"/>
    <s v="High Sales"/>
  </r>
  <r>
    <s v="C3533"/>
    <x v="6"/>
    <d v="2023-01-24T00:00:00"/>
    <n v="1"/>
    <n v="50.03"/>
    <s v="Customer C3533"/>
    <x v="0"/>
    <x v="3"/>
    <x v="4"/>
    <n v="50.03"/>
    <x v="6"/>
    <n v="2023"/>
    <s v="Low Sales"/>
  </r>
  <r>
    <s v="C9318"/>
    <x v="0"/>
    <d v="2025-06-02T00:00:00"/>
    <n v="5"/>
    <n v="730.2"/>
    <s v="Customer C9318"/>
    <x v="2"/>
    <x v="0"/>
    <x v="3"/>
    <n v="3651"/>
    <x v="1"/>
    <n v="2025"/>
    <s v="High Sales"/>
  </r>
  <r>
    <s v="C7243"/>
    <x v="0"/>
    <d v="2024-12-11T00:00:00"/>
    <n v="8"/>
    <n v="78.099999999999994"/>
    <s v="Customer C7243"/>
    <x v="1"/>
    <x v="3"/>
    <x v="4"/>
    <n v="624.79999999999995"/>
    <x v="8"/>
    <n v="2024"/>
    <s v="Low Sales"/>
  </r>
  <r>
    <s v="C2378"/>
    <x v="4"/>
    <d v="2023-06-17T00:00:00"/>
    <n v="2"/>
    <n v="679.03"/>
    <s v="Customer C2378"/>
    <x v="2"/>
    <x v="3"/>
    <x v="0"/>
    <n v="1358.06"/>
    <x v="1"/>
    <n v="2023"/>
    <s v="Low Sales"/>
  </r>
  <r>
    <s v="C4604"/>
    <x v="2"/>
    <d v="2025-06-29T00:00:00"/>
    <n v="4"/>
    <n v="317.13"/>
    <s v="Customer C4604"/>
    <x v="1"/>
    <x v="1"/>
    <x v="1"/>
    <n v="1268.52"/>
    <x v="1"/>
    <n v="2025"/>
    <s v="Low Sales"/>
  </r>
  <r>
    <s v="C2969"/>
    <x v="1"/>
    <d v="2025-02-08T00:00:00"/>
    <n v="2"/>
    <n v="21.24"/>
    <s v="Customer C2969"/>
    <x v="0"/>
    <x v="4"/>
    <x v="3"/>
    <n v="42.48"/>
    <x v="5"/>
    <n v="2025"/>
    <s v="Low Sales"/>
  </r>
  <r>
    <s v="C1544"/>
    <x v="6"/>
    <d v="2023-11-20T00:00:00"/>
    <n v="8"/>
    <n v="568.71"/>
    <s v="Customer C1544"/>
    <x v="1"/>
    <x v="1"/>
    <x v="0"/>
    <n v="4549.68"/>
    <x v="7"/>
    <n v="2023"/>
    <s v="High Sales"/>
  </r>
  <r>
    <s v="C5779"/>
    <x v="5"/>
    <d v="2023-09-06T00:00:00"/>
    <n v="4"/>
    <n v="240.85"/>
    <s v="Customer C5779"/>
    <x v="2"/>
    <x v="0"/>
    <x v="3"/>
    <n v="963.4"/>
    <x v="2"/>
    <n v="2023"/>
    <s v="Low Sales"/>
  </r>
  <r>
    <s v="C9206"/>
    <x v="5"/>
    <d v="2024-04-21T00:00:00"/>
    <n v="1"/>
    <n v="782.12"/>
    <s v="Customer C9206"/>
    <x v="2"/>
    <x v="0"/>
    <x v="2"/>
    <n v="782.12"/>
    <x v="3"/>
    <n v="2024"/>
    <s v="Low Sales"/>
  </r>
  <r>
    <s v="C7331"/>
    <x v="6"/>
    <d v="2024-04-02T00:00:00"/>
    <n v="3"/>
    <n v="241.55"/>
    <s v="Customer C7331"/>
    <x v="0"/>
    <x v="1"/>
    <x v="4"/>
    <n v="724.65000000000009"/>
    <x v="3"/>
    <n v="2024"/>
    <s v="Low Sales"/>
  </r>
  <r>
    <s v="C4370"/>
    <x v="6"/>
    <d v="2024-11-06T00:00:00"/>
    <n v="7"/>
    <n v="587.48"/>
    <s v="Customer C4370"/>
    <x v="1"/>
    <x v="4"/>
    <x v="1"/>
    <n v="4112.3600000000006"/>
    <x v="7"/>
    <n v="2024"/>
    <s v="High Sales"/>
  </r>
  <r>
    <s v="C4980"/>
    <x v="3"/>
    <d v="2024-11-26T00:00:00"/>
    <n v="8"/>
    <n v="516.77"/>
    <s v="Customer C4980"/>
    <x v="0"/>
    <x v="3"/>
    <x v="0"/>
    <n v="4134.16"/>
    <x v="7"/>
    <n v="2024"/>
    <s v="High Sales"/>
  </r>
  <r>
    <s v="C7617"/>
    <x v="5"/>
    <d v="2025-02-08T00:00:00"/>
    <n v="4"/>
    <n v="121.4"/>
    <s v="Customer C7617"/>
    <x v="2"/>
    <x v="0"/>
    <x v="0"/>
    <n v="485.6"/>
    <x v="5"/>
    <n v="2025"/>
    <s v="Low Sales"/>
  </r>
  <r>
    <s v="C5265"/>
    <x v="3"/>
    <d v="2024-06-30T00:00:00"/>
    <n v="2"/>
    <n v="521.12"/>
    <s v="Customer C5265"/>
    <x v="2"/>
    <x v="2"/>
    <x v="4"/>
    <n v="1042.24"/>
    <x v="1"/>
    <n v="2024"/>
    <s v="Low Sales"/>
  </r>
  <r>
    <s v="C4790"/>
    <x v="6"/>
    <d v="2023-10-14T00:00:00"/>
    <n v="6"/>
    <n v="448.1"/>
    <s v="Customer C4790"/>
    <x v="0"/>
    <x v="4"/>
    <x v="2"/>
    <n v="2688.6"/>
    <x v="9"/>
    <n v="2023"/>
    <s v="High Sales"/>
  </r>
  <r>
    <s v="C3579"/>
    <x v="1"/>
    <d v="2025-03-19T00:00:00"/>
    <n v="5"/>
    <n v="422.44"/>
    <s v="Customer C3579"/>
    <x v="2"/>
    <x v="0"/>
    <x v="4"/>
    <n v="2112.1999999999998"/>
    <x v="0"/>
    <n v="2025"/>
    <s v="High Sales"/>
  </r>
  <r>
    <s v="C3663"/>
    <x v="4"/>
    <d v="2024-09-24T00:00:00"/>
    <n v="8"/>
    <n v="87.35"/>
    <s v="Customer C3663"/>
    <x v="2"/>
    <x v="0"/>
    <x v="1"/>
    <n v="698.8"/>
    <x v="2"/>
    <n v="2024"/>
    <s v="Low Sales"/>
  </r>
  <r>
    <s v="C4452"/>
    <x v="5"/>
    <d v="2023-06-15T00:00:00"/>
    <n v="7"/>
    <n v="420.12"/>
    <s v="Customer C4452"/>
    <x v="1"/>
    <x v="4"/>
    <x v="4"/>
    <n v="2940.84"/>
    <x v="1"/>
    <n v="2023"/>
    <s v="High Sales"/>
  </r>
  <r>
    <s v="C9000"/>
    <x v="5"/>
    <d v="2024-11-02T00:00:00"/>
    <n v="2"/>
    <n v="214.6"/>
    <s v="Customer C9000"/>
    <x v="2"/>
    <x v="1"/>
    <x v="2"/>
    <n v="429.2"/>
    <x v="7"/>
    <n v="2024"/>
    <s v="Low Sales"/>
  </r>
  <r>
    <s v="C5617"/>
    <x v="1"/>
    <d v="2025-03-18T00:00:00"/>
    <n v="7"/>
    <n v="260.24"/>
    <s v="Customer C5617"/>
    <x v="1"/>
    <x v="0"/>
    <x v="2"/>
    <n v="1821.68"/>
    <x v="0"/>
    <n v="2025"/>
    <s v="Low Sales"/>
  </r>
  <r>
    <s v="C1030"/>
    <x v="0"/>
    <d v="2023-07-11T00:00:00"/>
    <n v="5"/>
    <n v="342.09"/>
    <s v="Customer C1030"/>
    <x v="2"/>
    <x v="2"/>
    <x v="0"/>
    <n v="1710.45"/>
    <x v="11"/>
    <n v="2023"/>
    <s v="Low Sales"/>
  </r>
  <r>
    <s v="C5417"/>
    <x v="5"/>
    <d v="2024-04-22T00:00:00"/>
    <n v="4"/>
    <n v="214.18"/>
    <s v="Customer C5417"/>
    <x v="1"/>
    <x v="3"/>
    <x v="3"/>
    <n v="856.72"/>
    <x v="3"/>
    <n v="2024"/>
    <s v="Low Sales"/>
  </r>
  <r>
    <s v="C1334"/>
    <x v="6"/>
    <d v="2024-10-08T00:00:00"/>
    <n v="6"/>
    <n v="724.08"/>
    <s v="Customer C1334"/>
    <x v="0"/>
    <x v="3"/>
    <x v="3"/>
    <n v="4344.4799999999996"/>
    <x v="9"/>
    <n v="2024"/>
    <s v="High Sales"/>
  </r>
  <r>
    <s v="C4231"/>
    <x v="5"/>
    <d v="2023-09-22T00:00:00"/>
    <n v="2"/>
    <n v="510.8"/>
    <s v="Customer C4231"/>
    <x v="2"/>
    <x v="3"/>
    <x v="3"/>
    <n v="1021.6"/>
    <x v="2"/>
    <n v="2023"/>
    <s v="Low Sales"/>
  </r>
  <r>
    <s v="C7830"/>
    <x v="6"/>
    <d v="2024-12-30T00:00:00"/>
    <n v="4"/>
    <n v="373.08"/>
    <s v="Customer C7830"/>
    <x v="2"/>
    <x v="2"/>
    <x v="4"/>
    <n v="1492.32"/>
    <x v="8"/>
    <n v="2024"/>
    <s v="Low Sales"/>
  </r>
  <r>
    <s v="C5571"/>
    <x v="3"/>
    <d v="2024-01-28T00:00:00"/>
    <n v="3"/>
    <n v="675.26"/>
    <s v="Customer C5571"/>
    <x v="1"/>
    <x v="0"/>
    <x v="3"/>
    <n v="2025.78"/>
    <x v="6"/>
    <n v="2024"/>
    <s v="High Sales"/>
  </r>
  <r>
    <s v="C7250"/>
    <x v="0"/>
    <d v="2024-10-31T00:00:00"/>
    <n v="8"/>
    <n v="165.23"/>
    <s v="Customer C7250"/>
    <x v="1"/>
    <x v="0"/>
    <x v="3"/>
    <n v="1321.84"/>
    <x v="9"/>
    <n v="2024"/>
    <s v="Low Sales"/>
  </r>
  <r>
    <s v="C1694"/>
    <x v="2"/>
    <d v="2025-01-12T00:00:00"/>
    <n v="8"/>
    <n v="675.81"/>
    <s v="Customer C1694"/>
    <x v="0"/>
    <x v="4"/>
    <x v="3"/>
    <n v="5406.48"/>
    <x v="6"/>
    <n v="2025"/>
    <s v="High Sales"/>
  </r>
  <r>
    <s v="C8327"/>
    <x v="2"/>
    <d v="2025-03-11T00:00:00"/>
    <n v="6"/>
    <n v="705.74"/>
    <s v="Customer C8327"/>
    <x v="0"/>
    <x v="2"/>
    <x v="1"/>
    <n v="4234.4400000000014"/>
    <x v="0"/>
    <n v="2025"/>
    <s v="High Sales"/>
  </r>
  <r>
    <s v="C2471"/>
    <x v="5"/>
    <d v="2024-09-05T00:00:00"/>
    <n v="8"/>
    <n v="659.25"/>
    <s v="Customer C2471"/>
    <x v="2"/>
    <x v="1"/>
    <x v="1"/>
    <n v="5274"/>
    <x v="2"/>
    <n v="2024"/>
    <s v="High Sales"/>
  </r>
  <r>
    <s v="C8263"/>
    <x v="5"/>
    <d v="2023-11-13T00:00:00"/>
    <n v="3"/>
    <n v="41.57"/>
    <s v="Customer C8263"/>
    <x v="0"/>
    <x v="4"/>
    <x v="2"/>
    <n v="124.71"/>
    <x v="7"/>
    <n v="2023"/>
    <s v="Low Sales"/>
  </r>
  <r>
    <s v="C8851"/>
    <x v="0"/>
    <d v="2024-02-28T00:00:00"/>
    <n v="8"/>
    <n v="578.05999999999995"/>
    <s v="Customer C8851"/>
    <x v="2"/>
    <x v="2"/>
    <x v="2"/>
    <n v="4624.4799999999996"/>
    <x v="5"/>
    <n v="2024"/>
    <s v="High Sales"/>
  </r>
  <r>
    <s v="C3555"/>
    <x v="1"/>
    <d v="2024-11-27T00:00:00"/>
    <n v="1"/>
    <n v="165.45"/>
    <s v="Customer C3555"/>
    <x v="2"/>
    <x v="1"/>
    <x v="4"/>
    <n v="165.45"/>
    <x v="7"/>
    <n v="2024"/>
    <s v="Low Sales"/>
  </r>
  <r>
    <s v="C3759"/>
    <x v="5"/>
    <d v="2024-08-10T00:00:00"/>
    <n v="7"/>
    <n v="604.79999999999995"/>
    <s v="Customer C3759"/>
    <x v="0"/>
    <x v="0"/>
    <x v="0"/>
    <n v="4233.5999999999995"/>
    <x v="4"/>
    <n v="2024"/>
    <s v="High Sales"/>
  </r>
  <r>
    <s v="C2461"/>
    <x v="2"/>
    <d v="2024-07-16T00:00:00"/>
    <n v="5"/>
    <n v="449.91"/>
    <s v="Customer C2461"/>
    <x v="2"/>
    <x v="1"/>
    <x v="2"/>
    <n v="2249.5500000000002"/>
    <x v="11"/>
    <n v="2024"/>
    <s v="High Sales"/>
  </r>
  <r>
    <s v="C3383"/>
    <x v="2"/>
    <d v="2025-02-18T00:00:00"/>
    <n v="5"/>
    <n v="390.97"/>
    <s v="Customer C3383"/>
    <x v="1"/>
    <x v="2"/>
    <x v="2"/>
    <n v="1954.85"/>
    <x v="5"/>
    <n v="2025"/>
    <s v="Low Sales"/>
  </r>
  <r>
    <s v="C1517"/>
    <x v="2"/>
    <d v="2024-03-03T00:00:00"/>
    <n v="6"/>
    <n v="667.06"/>
    <s v="Customer C1517"/>
    <x v="2"/>
    <x v="2"/>
    <x v="3"/>
    <n v="4002.36"/>
    <x v="0"/>
    <n v="2024"/>
    <s v="High Sales"/>
  </r>
  <r>
    <s v="C3765"/>
    <x v="3"/>
    <d v="2024-11-01T00:00:00"/>
    <n v="8"/>
    <n v="49.37"/>
    <s v="Customer C3765"/>
    <x v="1"/>
    <x v="0"/>
    <x v="4"/>
    <n v="394.96"/>
    <x v="7"/>
    <n v="2024"/>
    <s v="Low Sales"/>
  </r>
  <r>
    <s v="C9130"/>
    <x v="4"/>
    <d v="2023-05-11T00:00:00"/>
    <n v="6"/>
    <n v="155.5"/>
    <s v="Customer C9130"/>
    <x v="0"/>
    <x v="4"/>
    <x v="4"/>
    <n v="933"/>
    <x v="10"/>
    <n v="2023"/>
    <s v="Low Sales"/>
  </r>
  <r>
    <s v="C5091"/>
    <x v="1"/>
    <d v="2024-12-29T00:00:00"/>
    <n v="4"/>
    <n v="779.36"/>
    <s v="Customer C5091"/>
    <x v="1"/>
    <x v="1"/>
    <x v="3"/>
    <n v="3117.44"/>
    <x v="8"/>
    <n v="2024"/>
    <s v="High Sales"/>
  </r>
  <r>
    <s v="C4311"/>
    <x v="6"/>
    <d v="2024-11-10T00:00:00"/>
    <n v="8"/>
    <n v="393.28"/>
    <s v="Customer C4311"/>
    <x v="0"/>
    <x v="0"/>
    <x v="2"/>
    <n v="3146.24"/>
    <x v="7"/>
    <n v="2024"/>
    <s v="High Sales"/>
  </r>
  <r>
    <s v="C2228"/>
    <x v="6"/>
    <d v="2025-02-27T00:00:00"/>
    <n v="8"/>
    <n v="388.83"/>
    <s v="Customer C2228"/>
    <x v="1"/>
    <x v="2"/>
    <x v="4"/>
    <n v="3110.64"/>
    <x v="5"/>
    <n v="2025"/>
    <s v="High Sales"/>
  </r>
  <r>
    <s v="C1113"/>
    <x v="4"/>
    <d v="2025-03-09T00:00:00"/>
    <n v="8"/>
    <n v="621.65"/>
    <s v="Customer C1113"/>
    <x v="1"/>
    <x v="4"/>
    <x v="2"/>
    <n v="4973.2"/>
    <x v="0"/>
    <n v="2025"/>
    <s v="High Sales"/>
  </r>
  <r>
    <s v="C9614"/>
    <x v="0"/>
    <d v="2024-08-02T00:00:00"/>
    <n v="5"/>
    <n v="727.71"/>
    <s v="Customer C9614"/>
    <x v="2"/>
    <x v="3"/>
    <x v="3"/>
    <n v="3638.55"/>
    <x v="4"/>
    <n v="2024"/>
    <s v="High Sales"/>
  </r>
  <r>
    <s v="C5586"/>
    <x v="2"/>
    <d v="2024-12-24T00:00:00"/>
    <n v="4"/>
    <n v="196.86"/>
    <s v="Customer C5586"/>
    <x v="0"/>
    <x v="1"/>
    <x v="1"/>
    <n v="787.44"/>
    <x v="8"/>
    <n v="2024"/>
    <s v="Low Sales"/>
  </r>
  <r>
    <s v="C1312"/>
    <x v="5"/>
    <d v="2024-06-06T00:00:00"/>
    <n v="8"/>
    <n v="237.68"/>
    <s v="Customer C1312"/>
    <x v="0"/>
    <x v="0"/>
    <x v="4"/>
    <n v="1901.44"/>
    <x v="1"/>
    <n v="2024"/>
    <s v="Low Sales"/>
  </r>
  <r>
    <s v="C8292"/>
    <x v="6"/>
    <d v="2025-04-04T00:00:00"/>
    <n v="1"/>
    <n v="373.32"/>
    <s v="Customer C8292"/>
    <x v="1"/>
    <x v="1"/>
    <x v="0"/>
    <n v="373.32"/>
    <x v="3"/>
    <n v="2025"/>
    <s v="Low Sales"/>
  </r>
  <r>
    <s v="C1325"/>
    <x v="6"/>
    <d v="2025-03-03T00:00:00"/>
    <n v="8"/>
    <n v="294.62"/>
    <s v="Customer C1325"/>
    <x v="0"/>
    <x v="4"/>
    <x v="4"/>
    <n v="2356.96"/>
    <x v="0"/>
    <n v="2025"/>
    <s v="High Sales"/>
  </r>
  <r>
    <s v="C7413"/>
    <x v="4"/>
    <d v="2024-12-27T00:00:00"/>
    <n v="6"/>
    <n v="39.68"/>
    <s v="Customer C7413"/>
    <x v="0"/>
    <x v="0"/>
    <x v="3"/>
    <n v="238.08"/>
    <x v="8"/>
    <n v="2024"/>
    <s v="Low Sales"/>
  </r>
  <r>
    <s v="C6218"/>
    <x v="4"/>
    <d v="2024-06-08T00:00:00"/>
    <n v="7"/>
    <n v="748.02"/>
    <s v="Customer C6218"/>
    <x v="2"/>
    <x v="2"/>
    <x v="2"/>
    <n v="5236.1399999999994"/>
    <x v="1"/>
    <n v="2024"/>
    <s v="High Sales"/>
  </r>
  <r>
    <s v="C1200"/>
    <x v="6"/>
    <d v="2024-04-17T00:00:00"/>
    <n v="3"/>
    <n v="524.76"/>
    <s v="Customer C1200"/>
    <x v="2"/>
    <x v="2"/>
    <x v="2"/>
    <n v="1574.28"/>
    <x v="3"/>
    <n v="2024"/>
    <s v="Low Sales"/>
  </r>
  <r>
    <s v="C2155"/>
    <x v="0"/>
    <d v="2023-02-20T00:00:00"/>
    <n v="2"/>
    <n v="697.82"/>
    <s v="Customer C2155"/>
    <x v="1"/>
    <x v="1"/>
    <x v="2"/>
    <n v="1395.64"/>
    <x v="5"/>
    <n v="2023"/>
    <s v="Low Sales"/>
  </r>
  <r>
    <s v="C5204"/>
    <x v="1"/>
    <d v="2024-03-22T00:00:00"/>
    <n v="8"/>
    <n v="797.46"/>
    <s v="Customer C5204"/>
    <x v="0"/>
    <x v="0"/>
    <x v="2"/>
    <n v="6379.68"/>
    <x v="0"/>
    <n v="2024"/>
    <s v="High Sales"/>
  </r>
  <r>
    <s v="C2823"/>
    <x v="1"/>
    <d v="2024-01-04T00:00:00"/>
    <n v="1"/>
    <n v="561.33000000000004"/>
    <s v="Customer C2823"/>
    <x v="0"/>
    <x v="3"/>
    <x v="1"/>
    <n v="561.33000000000004"/>
    <x v="6"/>
    <n v="2024"/>
    <s v="Low Sales"/>
  </r>
  <r>
    <s v="C3217"/>
    <x v="0"/>
    <d v="2023-07-30T00:00:00"/>
    <n v="7"/>
    <n v="756.85"/>
    <s v="Customer C3217"/>
    <x v="2"/>
    <x v="2"/>
    <x v="3"/>
    <n v="5297.95"/>
    <x v="11"/>
    <n v="2023"/>
    <s v="High Sales"/>
  </r>
  <r>
    <s v="C1362"/>
    <x v="0"/>
    <d v="2025-02-07T00:00:00"/>
    <n v="5"/>
    <n v="586.02"/>
    <s v="Customer C1362"/>
    <x v="2"/>
    <x v="1"/>
    <x v="4"/>
    <n v="2930.1"/>
    <x v="5"/>
    <n v="2025"/>
    <s v="High Sales"/>
  </r>
  <r>
    <s v="C9739"/>
    <x v="5"/>
    <d v="2025-06-18T00:00:00"/>
    <n v="4"/>
    <n v="392.13"/>
    <s v="Customer C9739"/>
    <x v="1"/>
    <x v="4"/>
    <x v="4"/>
    <n v="1568.52"/>
    <x v="1"/>
    <n v="2025"/>
    <s v="Low Sales"/>
  </r>
  <r>
    <s v="C6029"/>
    <x v="2"/>
    <d v="2024-10-30T00:00:00"/>
    <n v="7"/>
    <n v="294.3"/>
    <s v="Customer C6029"/>
    <x v="1"/>
    <x v="2"/>
    <x v="3"/>
    <n v="2060.1"/>
    <x v="9"/>
    <n v="2024"/>
    <s v="High Sales"/>
  </r>
  <r>
    <s v="C7231"/>
    <x v="2"/>
    <d v="2024-07-07T00:00:00"/>
    <n v="1"/>
    <n v="127.54"/>
    <s v="Customer C7231"/>
    <x v="1"/>
    <x v="1"/>
    <x v="2"/>
    <n v="127.54"/>
    <x v="11"/>
    <n v="2024"/>
    <s v="Low Sales"/>
  </r>
  <r>
    <s v="C2930"/>
    <x v="5"/>
    <d v="2024-11-29T00:00:00"/>
    <n v="3"/>
    <n v="224.97"/>
    <s v="Customer C2930"/>
    <x v="1"/>
    <x v="2"/>
    <x v="3"/>
    <n v="674.91"/>
    <x v="7"/>
    <n v="2024"/>
    <s v="Low Sales"/>
  </r>
  <r>
    <s v="C6776"/>
    <x v="5"/>
    <d v="2024-04-03T00:00:00"/>
    <n v="1"/>
    <n v="160.57"/>
    <s v="Customer C6776"/>
    <x v="1"/>
    <x v="2"/>
    <x v="4"/>
    <n v="160.57"/>
    <x v="3"/>
    <n v="2024"/>
    <s v="Low Sales"/>
  </r>
  <r>
    <s v="C1391"/>
    <x v="2"/>
    <d v="2024-12-08T00:00:00"/>
    <n v="4"/>
    <n v="411.35"/>
    <s v="Customer C1391"/>
    <x v="1"/>
    <x v="0"/>
    <x v="3"/>
    <n v="1645.4"/>
    <x v="8"/>
    <n v="2024"/>
    <s v="Low Sales"/>
  </r>
  <r>
    <s v="C2102"/>
    <x v="2"/>
    <d v="2024-03-19T00:00:00"/>
    <n v="1"/>
    <n v="237.2"/>
    <s v="Customer C2102"/>
    <x v="1"/>
    <x v="2"/>
    <x v="4"/>
    <n v="237.2"/>
    <x v="0"/>
    <n v="2024"/>
    <s v="Low Sales"/>
  </r>
  <r>
    <s v="C2945"/>
    <x v="6"/>
    <d v="2023-06-08T00:00:00"/>
    <n v="7"/>
    <n v="430.84"/>
    <s v="Customer C2945"/>
    <x v="2"/>
    <x v="4"/>
    <x v="2"/>
    <n v="3015.88"/>
    <x v="1"/>
    <n v="2023"/>
    <s v="High Sales"/>
  </r>
  <r>
    <s v="C4597"/>
    <x v="2"/>
    <d v="2023-06-08T00:00:00"/>
    <n v="8"/>
    <n v="368.38"/>
    <s v="Customer C4597"/>
    <x v="1"/>
    <x v="1"/>
    <x v="1"/>
    <n v="2947.04"/>
    <x v="1"/>
    <n v="2023"/>
    <s v="High Sales"/>
  </r>
  <r>
    <s v="C9636"/>
    <x v="3"/>
    <d v="2025-06-23T00:00:00"/>
    <n v="7"/>
    <n v="109.67"/>
    <s v="Customer C9636"/>
    <x v="0"/>
    <x v="2"/>
    <x v="1"/>
    <n v="767.69"/>
    <x v="1"/>
    <n v="2025"/>
    <s v="Low Sales"/>
  </r>
  <r>
    <s v="C5185"/>
    <x v="6"/>
    <d v="2023-01-06T00:00:00"/>
    <n v="3"/>
    <n v="76.260000000000005"/>
    <s v="Customer C5185"/>
    <x v="1"/>
    <x v="1"/>
    <x v="4"/>
    <n v="228.78"/>
    <x v="6"/>
    <n v="2023"/>
    <s v="Low Sales"/>
  </r>
  <r>
    <s v="C5039"/>
    <x v="2"/>
    <d v="2024-12-31T00:00:00"/>
    <n v="6"/>
    <n v="353.11"/>
    <s v="Customer C5039"/>
    <x v="0"/>
    <x v="2"/>
    <x v="4"/>
    <n v="2118.66"/>
    <x v="8"/>
    <n v="2024"/>
    <s v="High Sales"/>
  </r>
  <r>
    <s v="C4979"/>
    <x v="6"/>
    <d v="2025-01-01T00:00:00"/>
    <n v="6"/>
    <n v="509.2"/>
    <s v="Customer C4979"/>
    <x v="2"/>
    <x v="0"/>
    <x v="3"/>
    <n v="3055.2"/>
    <x v="6"/>
    <n v="2025"/>
    <s v="High Sales"/>
  </r>
  <r>
    <s v="C7052"/>
    <x v="0"/>
    <d v="2025-05-19T00:00:00"/>
    <n v="7"/>
    <n v="237.3"/>
    <s v="Customer C7052"/>
    <x v="0"/>
    <x v="0"/>
    <x v="1"/>
    <n v="1661.1"/>
    <x v="10"/>
    <n v="2025"/>
    <s v="Low Sales"/>
  </r>
  <r>
    <s v="C8507"/>
    <x v="3"/>
    <d v="2023-11-01T00:00:00"/>
    <n v="8"/>
    <n v="509.8"/>
    <s v="Customer C8507"/>
    <x v="0"/>
    <x v="2"/>
    <x v="2"/>
    <n v="4078.4"/>
    <x v="7"/>
    <n v="2023"/>
    <s v="High Sales"/>
  </r>
  <r>
    <s v="C3679"/>
    <x v="2"/>
    <d v="2023-01-08T00:00:00"/>
    <n v="4"/>
    <n v="236.91"/>
    <s v="Customer C3679"/>
    <x v="2"/>
    <x v="3"/>
    <x v="4"/>
    <n v="947.64"/>
    <x v="6"/>
    <n v="2023"/>
    <s v="Low Sales"/>
  </r>
  <r>
    <s v="C8869"/>
    <x v="4"/>
    <d v="2024-10-30T00:00:00"/>
    <n v="2"/>
    <n v="713.79"/>
    <s v="Customer C8869"/>
    <x v="1"/>
    <x v="4"/>
    <x v="1"/>
    <n v="1427.58"/>
    <x v="9"/>
    <n v="2024"/>
    <s v="Low Sales"/>
  </r>
  <r>
    <s v="C7298"/>
    <x v="6"/>
    <d v="2023-06-16T00:00:00"/>
    <n v="2"/>
    <n v="232.19"/>
    <s v="Customer C7298"/>
    <x v="2"/>
    <x v="3"/>
    <x v="1"/>
    <n v="464.38"/>
    <x v="1"/>
    <n v="2023"/>
    <s v="Low Sales"/>
  </r>
  <r>
    <s v="C1301"/>
    <x v="5"/>
    <d v="2024-01-26T00:00:00"/>
    <n v="8"/>
    <n v="513.16"/>
    <s v="Customer C1301"/>
    <x v="0"/>
    <x v="0"/>
    <x v="2"/>
    <n v="4105.28"/>
    <x v="6"/>
    <n v="2024"/>
    <s v="High Sales"/>
  </r>
  <r>
    <s v="C4465"/>
    <x v="2"/>
    <d v="2023-10-28T00:00:00"/>
    <n v="5"/>
    <n v="435.2"/>
    <s v="Customer C4465"/>
    <x v="0"/>
    <x v="0"/>
    <x v="2"/>
    <n v="2176"/>
    <x v="9"/>
    <n v="2023"/>
    <s v="High Sales"/>
  </r>
  <r>
    <s v="C1326"/>
    <x v="2"/>
    <d v="2023-05-12T00:00:00"/>
    <n v="6"/>
    <n v="542.99"/>
    <s v="Customer C1326"/>
    <x v="2"/>
    <x v="4"/>
    <x v="3"/>
    <n v="3257.94"/>
    <x v="10"/>
    <n v="2023"/>
    <s v="High Sales"/>
  </r>
  <r>
    <s v="C8555"/>
    <x v="0"/>
    <d v="2024-04-11T00:00:00"/>
    <n v="6"/>
    <n v="8.17"/>
    <s v="Customer C8555"/>
    <x v="0"/>
    <x v="1"/>
    <x v="1"/>
    <n v="49.02"/>
    <x v="3"/>
    <n v="2024"/>
    <s v="Low Sales"/>
  </r>
  <r>
    <s v="C2443"/>
    <x v="6"/>
    <d v="2024-08-03T00:00:00"/>
    <n v="8"/>
    <n v="752.21"/>
    <s v="Customer C2443"/>
    <x v="1"/>
    <x v="0"/>
    <x v="3"/>
    <n v="6017.68"/>
    <x v="4"/>
    <n v="2024"/>
    <s v="High Sales"/>
  </r>
  <r>
    <s v="C3311"/>
    <x v="6"/>
    <d v="2023-08-25T00:00:00"/>
    <n v="7"/>
    <n v="743.68"/>
    <s v="Customer C3311"/>
    <x v="1"/>
    <x v="1"/>
    <x v="0"/>
    <n v="5205.7599999999993"/>
    <x v="4"/>
    <n v="2023"/>
    <s v="High Sales"/>
  </r>
  <r>
    <s v="C8299"/>
    <x v="2"/>
    <d v="2023-12-28T00:00:00"/>
    <n v="1"/>
    <n v="770.15"/>
    <s v="Customer C8299"/>
    <x v="0"/>
    <x v="4"/>
    <x v="2"/>
    <n v="770.15"/>
    <x v="8"/>
    <n v="2023"/>
    <s v="Low Sales"/>
  </r>
  <r>
    <s v="C5708"/>
    <x v="0"/>
    <d v="2023-02-14T00:00:00"/>
    <n v="5"/>
    <n v="494.19"/>
    <s v="Customer C5708"/>
    <x v="0"/>
    <x v="3"/>
    <x v="1"/>
    <n v="2470.9499999999998"/>
    <x v="5"/>
    <n v="2023"/>
    <s v="High Sales"/>
  </r>
  <r>
    <s v="C5981"/>
    <x v="6"/>
    <d v="2023-05-26T00:00:00"/>
    <n v="6"/>
    <n v="357.44"/>
    <s v="Customer C5981"/>
    <x v="2"/>
    <x v="3"/>
    <x v="1"/>
    <n v="2144.64"/>
    <x v="10"/>
    <n v="2023"/>
    <s v="High Sales"/>
  </r>
  <r>
    <s v="C3313"/>
    <x v="1"/>
    <d v="2025-05-22T00:00:00"/>
    <n v="4"/>
    <n v="508.49"/>
    <s v="Customer C3313"/>
    <x v="2"/>
    <x v="4"/>
    <x v="0"/>
    <n v="2033.96"/>
    <x v="10"/>
    <n v="2025"/>
    <s v="High Sales"/>
  </r>
  <r>
    <s v="C7824"/>
    <x v="1"/>
    <d v="2023-02-05T00:00:00"/>
    <n v="1"/>
    <n v="195.71"/>
    <s v="Customer C7824"/>
    <x v="0"/>
    <x v="2"/>
    <x v="1"/>
    <n v="195.71"/>
    <x v="5"/>
    <n v="2023"/>
    <s v="Low Sales"/>
  </r>
  <r>
    <s v="C9021"/>
    <x v="0"/>
    <d v="2025-02-14T00:00:00"/>
    <n v="3"/>
    <n v="237.93"/>
    <s v="Customer C9021"/>
    <x v="1"/>
    <x v="1"/>
    <x v="2"/>
    <n v="713.79"/>
    <x v="5"/>
    <n v="2025"/>
    <s v="Low Sales"/>
  </r>
  <r>
    <s v="C7242"/>
    <x v="0"/>
    <d v="2024-05-01T00:00:00"/>
    <n v="1"/>
    <n v="50.19"/>
    <s v="Customer C7242"/>
    <x v="2"/>
    <x v="3"/>
    <x v="2"/>
    <n v="50.19"/>
    <x v="10"/>
    <n v="2024"/>
    <s v="Low Sales"/>
  </r>
  <r>
    <s v="C3440"/>
    <x v="1"/>
    <d v="2025-05-15T00:00:00"/>
    <n v="5"/>
    <n v="619.53"/>
    <s v="Customer C3440"/>
    <x v="1"/>
    <x v="0"/>
    <x v="3"/>
    <n v="3097.65"/>
    <x v="10"/>
    <n v="2025"/>
    <s v="High Sales"/>
  </r>
  <r>
    <s v="C6498"/>
    <x v="2"/>
    <d v="2024-07-19T00:00:00"/>
    <n v="2"/>
    <n v="60.32"/>
    <s v="Customer C6498"/>
    <x v="0"/>
    <x v="1"/>
    <x v="3"/>
    <n v="120.64"/>
    <x v="11"/>
    <n v="2024"/>
    <s v="Low Sales"/>
  </r>
  <r>
    <s v="C2873"/>
    <x v="0"/>
    <d v="2025-04-01T00:00:00"/>
    <n v="7"/>
    <n v="167.82"/>
    <s v="Customer C2873"/>
    <x v="1"/>
    <x v="4"/>
    <x v="0"/>
    <n v="1174.74"/>
    <x v="3"/>
    <n v="2025"/>
    <s v="Low Sales"/>
  </r>
  <r>
    <s v="C5968"/>
    <x v="1"/>
    <d v="2024-07-05T00:00:00"/>
    <n v="5"/>
    <n v="563.47"/>
    <s v="Customer C5968"/>
    <x v="0"/>
    <x v="0"/>
    <x v="4"/>
    <n v="2817.35"/>
    <x v="11"/>
    <n v="2024"/>
    <s v="High Sales"/>
  </r>
  <r>
    <s v="C3723"/>
    <x v="5"/>
    <d v="2023-10-10T00:00:00"/>
    <n v="8"/>
    <n v="264.31"/>
    <s v="Customer C3723"/>
    <x v="2"/>
    <x v="2"/>
    <x v="1"/>
    <n v="2114.48"/>
    <x v="9"/>
    <n v="2023"/>
    <s v="High Sales"/>
  </r>
  <r>
    <s v="C4069"/>
    <x v="3"/>
    <d v="2023-07-12T00:00:00"/>
    <n v="7"/>
    <n v="443.89"/>
    <s v="Customer C4069"/>
    <x v="0"/>
    <x v="1"/>
    <x v="2"/>
    <n v="3107.23"/>
    <x v="11"/>
    <n v="2023"/>
    <s v="High Sales"/>
  </r>
  <r>
    <s v="C3647"/>
    <x v="3"/>
    <d v="2024-11-26T00:00:00"/>
    <n v="8"/>
    <n v="395.46"/>
    <s v="Customer C3647"/>
    <x v="2"/>
    <x v="1"/>
    <x v="0"/>
    <n v="3163.68"/>
    <x v="7"/>
    <n v="2024"/>
    <s v="High Sales"/>
  </r>
  <r>
    <s v="C5102"/>
    <x v="4"/>
    <d v="2023-03-08T00:00:00"/>
    <n v="5"/>
    <n v="57.44"/>
    <s v="Customer C5102"/>
    <x v="1"/>
    <x v="2"/>
    <x v="3"/>
    <n v="287.2"/>
    <x v="0"/>
    <n v="2023"/>
    <s v="Low Sales"/>
  </r>
  <r>
    <s v="C9225"/>
    <x v="5"/>
    <d v="2024-03-28T00:00:00"/>
    <n v="8"/>
    <n v="158.72999999999999"/>
    <s v="Customer C9225"/>
    <x v="2"/>
    <x v="0"/>
    <x v="0"/>
    <n v="1269.8399999999999"/>
    <x v="0"/>
    <n v="2024"/>
    <s v="Low Sales"/>
  </r>
  <r>
    <s v="C9517"/>
    <x v="3"/>
    <d v="2023-09-15T00:00:00"/>
    <n v="6"/>
    <n v="654.29"/>
    <s v="Customer C9517"/>
    <x v="1"/>
    <x v="0"/>
    <x v="3"/>
    <n v="3925.74"/>
    <x v="2"/>
    <n v="2023"/>
    <s v="High Sales"/>
  </r>
  <r>
    <s v="C1078"/>
    <x v="1"/>
    <d v="2023-11-12T00:00:00"/>
    <n v="5"/>
    <n v="226.61"/>
    <s v="Customer C1078"/>
    <x v="2"/>
    <x v="0"/>
    <x v="3"/>
    <n v="1133.05"/>
    <x v="7"/>
    <n v="2023"/>
    <s v="Low Sales"/>
  </r>
  <r>
    <s v="C2029"/>
    <x v="2"/>
    <d v="2023-01-01T00:00:00"/>
    <n v="5"/>
    <n v="336.17"/>
    <s v="Customer C2029"/>
    <x v="2"/>
    <x v="2"/>
    <x v="0"/>
    <n v="1680.85"/>
    <x v="6"/>
    <n v="2023"/>
    <s v="Low Sales"/>
  </r>
  <r>
    <s v="C6985"/>
    <x v="1"/>
    <d v="2024-08-02T00:00:00"/>
    <n v="2"/>
    <n v="132.49"/>
    <s v="Customer C6985"/>
    <x v="0"/>
    <x v="1"/>
    <x v="2"/>
    <n v="264.98"/>
    <x v="4"/>
    <n v="2024"/>
    <s v="Low Sales"/>
  </r>
  <r>
    <s v="C7782"/>
    <x v="6"/>
    <d v="2023-07-09T00:00:00"/>
    <n v="2"/>
    <n v="664.71"/>
    <s v="Customer C7782"/>
    <x v="2"/>
    <x v="3"/>
    <x v="2"/>
    <n v="1329.42"/>
    <x v="11"/>
    <n v="2023"/>
    <s v="Low Sales"/>
  </r>
  <r>
    <s v="C6215"/>
    <x v="4"/>
    <d v="2024-06-24T00:00:00"/>
    <n v="3"/>
    <n v="414.11"/>
    <s v="Customer C6215"/>
    <x v="0"/>
    <x v="1"/>
    <x v="1"/>
    <n v="1242.33"/>
    <x v="1"/>
    <n v="2024"/>
    <s v="Low Sales"/>
  </r>
  <r>
    <s v="C6373"/>
    <x v="3"/>
    <d v="2023-12-16T00:00:00"/>
    <n v="6"/>
    <n v="110"/>
    <s v="Customer C6373"/>
    <x v="1"/>
    <x v="4"/>
    <x v="0"/>
    <n v="660"/>
    <x v="8"/>
    <n v="2023"/>
    <s v="Low Sales"/>
  </r>
  <r>
    <s v="C6526"/>
    <x v="2"/>
    <d v="2024-10-24T00:00:00"/>
    <n v="5"/>
    <n v="42.01"/>
    <s v="Customer C6526"/>
    <x v="2"/>
    <x v="1"/>
    <x v="0"/>
    <n v="210.05"/>
    <x v="9"/>
    <n v="2024"/>
    <s v="Low Sales"/>
  </r>
  <r>
    <s v="C7287"/>
    <x v="2"/>
    <d v="2025-02-12T00:00:00"/>
    <n v="2"/>
    <n v="173.26"/>
    <s v="Customer C7287"/>
    <x v="0"/>
    <x v="2"/>
    <x v="3"/>
    <n v="346.52"/>
    <x v="5"/>
    <n v="2025"/>
    <s v="Low Sales"/>
  </r>
  <r>
    <s v="C4705"/>
    <x v="4"/>
    <d v="2023-12-10T00:00:00"/>
    <n v="8"/>
    <n v="297.94"/>
    <s v="Customer C4705"/>
    <x v="1"/>
    <x v="1"/>
    <x v="2"/>
    <n v="2383.52"/>
    <x v="8"/>
    <n v="2023"/>
    <s v="High Sales"/>
  </r>
  <r>
    <s v="C6228"/>
    <x v="5"/>
    <d v="2024-01-27T00:00:00"/>
    <n v="1"/>
    <n v="75.2"/>
    <s v="Customer C6228"/>
    <x v="2"/>
    <x v="3"/>
    <x v="3"/>
    <n v="75.2"/>
    <x v="6"/>
    <n v="2024"/>
    <s v="Low Sales"/>
  </r>
  <r>
    <s v="C3497"/>
    <x v="3"/>
    <d v="2023-12-01T00:00:00"/>
    <n v="4"/>
    <n v="186.25"/>
    <s v="Customer C3497"/>
    <x v="2"/>
    <x v="0"/>
    <x v="3"/>
    <n v="745"/>
    <x v="8"/>
    <n v="2023"/>
    <s v="Low Sales"/>
  </r>
  <r>
    <s v="C6164"/>
    <x v="2"/>
    <d v="2024-11-23T00:00:00"/>
    <n v="8"/>
    <n v="448.55"/>
    <s v="Customer C6164"/>
    <x v="1"/>
    <x v="1"/>
    <x v="0"/>
    <n v="3588.4"/>
    <x v="7"/>
    <n v="2024"/>
    <s v="High Sales"/>
  </r>
  <r>
    <s v="C6149"/>
    <x v="1"/>
    <d v="2024-12-20T00:00:00"/>
    <n v="5"/>
    <n v="682.8"/>
    <s v="Customer C6149"/>
    <x v="1"/>
    <x v="1"/>
    <x v="1"/>
    <n v="3414"/>
    <x v="8"/>
    <n v="2024"/>
    <s v="High Sales"/>
  </r>
  <r>
    <s v="C4588"/>
    <x v="6"/>
    <d v="2025-06-27T00:00:00"/>
    <n v="8"/>
    <n v="77.66"/>
    <s v="Customer C4588"/>
    <x v="2"/>
    <x v="1"/>
    <x v="0"/>
    <n v="621.28"/>
    <x v="1"/>
    <n v="2025"/>
    <s v="Low Sales"/>
  </r>
  <r>
    <s v="C1232"/>
    <x v="4"/>
    <d v="2024-03-10T00:00:00"/>
    <n v="6"/>
    <n v="17.149999999999999"/>
    <s v="Customer C1232"/>
    <x v="0"/>
    <x v="0"/>
    <x v="2"/>
    <n v="102.9"/>
    <x v="0"/>
    <n v="2024"/>
    <s v="Low Sales"/>
  </r>
  <r>
    <s v="C3714"/>
    <x v="4"/>
    <d v="2024-05-18T00:00:00"/>
    <n v="8"/>
    <n v="69.55"/>
    <s v="Customer C3714"/>
    <x v="0"/>
    <x v="0"/>
    <x v="1"/>
    <n v="556.4"/>
    <x v="10"/>
    <n v="2024"/>
    <s v="Low Sales"/>
  </r>
  <r>
    <s v="C3236"/>
    <x v="0"/>
    <d v="2025-05-15T00:00:00"/>
    <n v="1"/>
    <n v="51.54"/>
    <s v="Customer C3236"/>
    <x v="2"/>
    <x v="1"/>
    <x v="4"/>
    <n v="51.54"/>
    <x v="10"/>
    <n v="2025"/>
    <s v="Low Sales"/>
  </r>
  <r>
    <s v="C2411"/>
    <x v="0"/>
    <d v="2023-11-18T00:00:00"/>
    <n v="5"/>
    <n v="185.82"/>
    <s v="Customer C2411"/>
    <x v="0"/>
    <x v="0"/>
    <x v="0"/>
    <n v="929.09999999999991"/>
    <x v="7"/>
    <n v="2023"/>
    <s v="Low Sales"/>
  </r>
  <r>
    <s v="C8622"/>
    <x v="1"/>
    <d v="2025-05-09T00:00:00"/>
    <n v="2"/>
    <n v="420.24"/>
    <s v="Customer C8622"/>
    <x v="2"/>
    <x v="4"/>
    <x v="2"/>
    <n v="840.48"/>
    <x v="10"/>
    <n v="2025"/>
    <s v="Low Sales"/>
  </r>
  <r>
    <s v="C4118"/>
    <x v="0"/>
    <d v="2024-08-24T00:00:00"/>
    <n v="5"/>
    <n v="114.53"/>
    <s v="Customer C4118"/>
    <x v="2"/>
    <x v="3"/>
    <x v="0"/>
    <n v="572.65"/>
    <x v="4"/>
    <n v="2024"/>
    <s v="Low Sales"/>
  </r>
  <r>
    <s v="C6020"/>
    <x v="1"/>
    <d v="2024-12-17T00:00:00"/>
    <n v="2"/>
    <n v="265.33999999999997"/>
    <s v="Customer C6020"/>
    <x v="2"/>
    <x v="1"/>
    <x v="3"/>
    <n v="530.67999999999995"/>
    <x v="8"/>
    <n v="2024"/>
    <s v="Low Sales"/>
  </r>
  <r>
    <s v="C5481"/>
    <x v="4"/>
    <d v="2023-01-01T00:00:00"/>
    <n v="4"/>
    <n v="757.23"/>
    <s v="Customer C5481"/>
    <x v="0"/>
    <x v="0"/>
    <x v="4"/>
    <n v="3028.92"/>
    <x v="6"/>
    <n v="2023"/>
    <s v="High Sales"/>
  </r>
  <r>
    <s v="C4136"/>
    <x v="5"/>
    <d v="2024-10-01T00:00:00"/>
    <n v="1"/>
    <n v="698.52"/>
    <s v="Customer C4136"/>
    <x v="2"/>
    <x v="3"/>
    <x v="0"/>
    <n v="698.52"/>
    <x v="9"/>
    <n v="2024"/>
    <s v="Low Sales"/>
  </r>
  <r>
    <s v="C8065"/>
    <x v="1"/>
    <d v="2024-12-08T00:00:00"/>
    <n v="8"/>
    <n v="377.44"/>
    <s v="Customer C8065"/>
    <x v="1"/>
    <x v="4"/>
    <x v="4"/>
    <n v="3019.52"/>
    <x v="8"/>
    <n v="2024"/>
    <s v="High Sales"/>
  </r>
  <r>
    <s v="C6729"/>
    <x v="2"/>
    <d v="2023-11-25T00:00:00"/>
    <n v="3"/>
    <n v="103.61"/>
    <s v="Customer C6729"/>
    <x v="1"/>
    <x v="4"/>
    <x v="2"/>
    <n v="310.83"/>
    <x v="7"/>
    <n v="2023"/>
    <s v="Low Sales"/>
  </r>
  <r>
    <s v="C4225"/>
    <x v="6"/>
    <d v="2024-03-20T00:00:00"/>
    <n v="2"/>
    <n v="504.13"/>
    <s v="Customer C4225"/>
    <x v="0"/>
    <x v="0"/>
    <x v="3"/>
    <n v="1008.26"/>
    <x v="0"/>
    <n v="2024"/>
    <s v="Low Sales"/>
  </r>
  <r>
    <s v="C8230"/>
    <x v="6"/>
    <d v="2023-11-07T00:00:00"/>
    <n v="6"/>
    <n v="574.6"/>
    <s v="Customer C8230"/>
    <x v="1"/>
    <x v="1"/>
    <x v="3"/>
    <n v="3447.6"/>
    <x v="7"/>
    <n v="2023"/>
    <s v="High Sales"/>
  </r>
  <r>
    <s v="C2687"/>
    <x v="3"/>
    <d v="2025-02-14T00:00:00"/>
    <n v="2"/>
    <n v="201.7"/>
    <s v="Customer C2687"/>
    <x v="1"/>
    <x v="1"/>
    <x v="0"/>
    <n v="403.4"/>
    <x v="5"/>
    <n v="2025"/>
    <s v="Low Sales"/>
  </r>
  <r>
    <s v="C5595"/>
    <x v="2"/>
    <d v="2023-02-18T00:00:00"/>
    <n v="3"/>
    <n v="330.27"/>
    <s v="Customer C5595"/>
    <x v="2"/>
    <x v="4"/>
    <x v="3"/>
    <n v="990.81"/>
    <x v="5"/>
    <n v="2023"/>
    <s v="Low Sales"/>
  </r>
  <r>
    <s v="C1036"/>
    <x v="0"/>
    <d v="2023-04-03T00:00:00"/>
    <n v="3"/>
    <n v="116.05"/>
    <s v="Customer C1036"/>
    <x v="2"/>
    <x v="0"/>
    <x v="0"/>
    <n v="348.15"/>
    <x v="3"/>
    <n v="2023"/>
    <s v="Low Sales"/>
  </r>
  <r>
    <s v="C6203"/>
    <x v="4"/>
    <d v="2025-02-20T00:00:00"/>
    <n v="8"/>
    <n v="204.55"/>
    <s v="Customer C6203"/>
    <x v="2"/>
    <x v="3"/>
    <x v="4"/>
    <n v="1636.4"/>
    <x v="5"/>
    <n v="2025"/>
    <s v="Low Sales"/>
  </r>
  <r>
    <s v="C8789"/>
    <x v="1"/>
    <d v="2023-11-01T00:00:00"/>
    <n v="2"/>
    <n v="638.58000000000004"/>
    <s v="Customer C8789"/>
    <x v="1"/>
    <x v="1"/>
    <x v="0"/>
    <n v="1277.1600000000001"/>
    <x v="7"/>
    <n v="2023"/>
    <s v="Low Sales"/>
  </r>
  <r>
    <s v="C1927"/>
    <x v="6"/>
    <d v="2023-06-04T00:00:00"/>
    <n v="5"/>
    <n v="434.71"/>
    <s v="Customer C1927"/>
    <x v="0"/>
    <x v="4"/>
    <x v="4"/>
    <n v="2173.5500000000002"/>
    <x v="1"/>
    <n v="2023"/>
    <s v="High Sales"/>
  </r>
  <r>
    <s v="C4332"/>
    <x v="2"/>
    <d v="2023-08-18T00:00:00"/>
    <n v="1"/>
    <n v="247.15"/>
    <s v="Customer C4332"/>
    <x v="1"/>
    <x v="0"/>
    <x v="0"/>
    <n v="247.15"/>
    <x v="4"/>
    <n v="2023"/>
    <s v="Low Sales"/>
  </r>
  <r>
    <s v="C3979"/>
    <x v="6"/>
    <d v="2023-01-01T00:00:00"/>
    <n v="8"/>
    <n v="616.36"/>
    <s v="Customer C3979"/>
    <x v="1"/>
    <x v="3"/>
    <x v="4"/>
    <n v="4930.88"/>
    <x v="6"/>
    <n v="2023"/>
    <s v="High Sales"/>
  </r>
  <r>
    <s v="C7557"/>
    <x v="2"/>
    <d v="2025-01-18T00:00:00"/>
    <n v="7"/>
    <n v="287.77999999999997"/>
    <s v="Customer C7557"/>
    <x v="1"/>
    <x v="2"/>
    <x v="2"/>
    <n v="2014.46"/>
    <x v="6"/>
    <n v="2025"/>
    <s v="High Sales"/>
  </r>
  <r>
    <s v="C5240"/>
    <x v="6"/>
    <d v="2023-08-15T00:00:00"/>
    <n v="4"/>
    <n v="746.8"/>
    <s v="Customer C5240"/>
    <x v="0"/>
    <x v="4"/>
    <x v="4"/>
    <n v="2987.2"/>
    <x v="4"/>
    <n v="2023"/>
    <s v="High Sales"/>
  </r>
  <r>
    <s v="C8884"/>
    <x v="1"/>
    <d v="2024-05-10T00:00:00"/>
    <n v="6"/>
    <n v="76.42"/>
    <s v="Customer C8884"/>
    <x v="0"/>
    <x v="0"/>
    <x v="1"/>
    <n v="458.52"/>
    <x v="10"/>
    <n v="2024"/>
    <s v="Low Sales"/>
  </r>
  <r>
    <s v="C5572"/>
    <x v="0"/>
    <d v="2024-10-23T00:00:00"/>
    <n v="5"/>
    <n v="382.32"/>
    <s v="Customer C5572"/>
    <x v="2"/>
    <x v="1"/>
    <x v="1"/>
    <n v="1911.6"/>
    <x v="9"/>
    <n v="2024"/>
    <s v="Low Sales"/>
  </r>
  <r>
    <s v="C6341"/>
    <x v="4"/>
    <d v="2024-02-13T00:00:00"/>
    <n v="6"/>
    <n v="295.33999999999997"/>
    <s v="Customer C6341"/>
    <x v="2"/>
    <x v="1"/>
    <x v="1"/>
    <n v="1772.04"/>
    <x v="5"/>
    <n v="2024"/>
    <s v="Low Sales"/>
  </r>
  <r>
    <s v="C5568"/>
    <x v="5"/>
    <d v="2023-02-14T00:00:00"/>
    <n v="4"/>
    <n v="350.18"/>
    <s v="Customer C5568"/>
    <x v="2"/>
    <x v="1"/>
    <x v="4"/>
    <n v="1400.72"/>
    <x v="5"/>
    <n v="2023"/>
    <s v="Low Sales"/>
  </r>
  <r>
    <s v="C1216"/>
    <x v="2"/>
    <d v="2023-06-24T00:00:00"/>
    <n v="1"/>
    <n v="580.23"/>
    <s v="Customer C1216"/>
    <x v="0"/>
    <x v="3"/>
    <x v="2"/>
    <n v="580.23"/>
    <x v="1"/>
    <n v="2023"/>
    <s v="Low Sales"/>
  </r>
  <r>
    <s v="C3137"/>
    <x v="6"/>
    <d v="2024-02-12T00:00:00"/>
    <n v="8"/>
    <n v="605.27"/>
    <s v="Customer C3137"/>
    <x v="0"/>
    <x v="2"/>
    <x v="4"/>
    <n v="4842.16"/>
    <x v="5"/>
    <n v="2024"/>
    <s v="High Sales"/>
  </r>
  <r>
    <s v="C8372"/>
    <x v="2"/>
    <d v="2024-08-30T00:00:00"/>
    <n v="4"/>
    <n v="604.77"/>
    <s v="Customer C8372"/>
    <x v="2"/>
    <x v="1"/>
    <x v="4"/>
    <n v="2419.08"/>
    <x v="4"/>
    <n v="2024"/>
    <s v="High Sales"/>
  </r>
  <r>
    <s v="C4042"/>
    <x v="6"/>
    <d v="2024-04-24T00:00:00"/>
    <n v="8"/>
    <n v="456.32"/>
    <s v="Customer C4042"/>
    <x v="1"/>
    <x v="3"/>
    <x v="3"/>
    <n v="3650.56"/>
    <x v="3"/>
    <n v="2024"/>
    <s v="High Sales"/>
  </r>
  <r>
    <s v="C3920"/>
    <x v="5"/>
    <d v="2024-03-05T00:00:00"/>
    <n v="2"/>
    <n v="757.62"/>
    <s v="Customer C3920"/>
    <x v="1"/>
    <x v="4"/>
    <x v="0"/>
    <n v="1515.24"/>
    <x v="0"/>
    <n v="2024"/>
    <s v="Low Sales"/>
  </r>
  <r>
    <s v="C2573"/>
    <x v="0"/>
    <d v="2024-10-14T00:00:00"/>
    <n v="2"/>
    <n v="322.20999999999998"/>
    <s v="Customer C2573"/>
    <x v="1"/>
    <x v="1"/>
    <x v="3"/>
    <n v="644.41999999999996"/>
    <x v="9"/>
    <n v="2024"/>
    <s v="Low Sales"/>
  </r>
  <r>
    <s v="C8303"/>
    <x v="3"/>
    <d v="2025-06-18T00:00:00"/>
    <n v="3"/>
    <n v="195.52"/>
    <s v="Customer C8303"/>
    <x v="2"/>
    <x v="4"/>
    <x v="0"/>
    <n v="586.56000000000006"/>
    <x v="1"/>
    <n v="2025"/>
    <s v="Low Sales"/>
  </r>
  <r>
    <s v="C3636"/>
    <x v="3"/>
    <d v="2023-05-25T00:00:00"/>
    <n v="1"/>
    <n v="614.88"/>
    <s v="Customer C3636"/>
    <x v="0"/>
    <x v="1"/>
    <x v="3"/>
    <n v="614.88"/>
    <x v="10"/>
    <n v="2023"/>
    <s v="Low Sales"/>
  </r>
  <r>
    <s v="C2802"/>
    <x v="6"/>
    <d v="2023-08-10T00:00:00"/>
    <n v="2"/>
    <n v="408.62"/>
    <s v="Customer C2802"/>
    <x v="1"/>
    <x v="3"/>
    <x v="4"/>
    <n v="817.24"/>
    <x v="4"/>
    <n v="2023"/>
    <s v="Low Sales"/>
  </r>
  <r>
    <s v="C8923"/>
    <x v="1"/>
    <d v="2023-04-17T00:00:00"/>
    <n v="3"/>
    <n v="754.36"/>
    <s v="Customer C8923"/>
    <x v="1"/>
    <x v="4"/>
    <x v="3"/>
    <n v="2263.08"/>
    <x v="3"/>
    <n v="2023"/>
    <s v="High Sales"/>
  </r>
  <r>
    <s v="C1003"/>
    <x v="1"/>
    <d v="2023-01-09T00:00:00"/>
    <n v="8"/>
    <n v="356.19"/>
    <s v="Customer C1003"/>
    <x v="0"/>
    <x v="0"/>
    <x v="2"/>
    <n v="2849.52"/>
    <x v="6"/>
    <n v="2023"/>
    <s v="High Sales"/>
  </r>
  <r>
    <s v="C1946"/>
    <x v="2"/>
    <d v="2025-06-30T00:00:00"/>
    <n v="3"/>
    <n v="141.28"/>
    <s v="Customer C1946"/>
    <x v="2"/>
    <x v="4"/>
    <x v="4"/>
    <n v="423.84"/>
    <x v="1"/>
    <n v="2025"/>
    <s v="Low Sales"/>
  </r>
  <r>
    <s v="C7163"/>
    <x v="2"/>
    <d v="2023-12-12T00:00:00"/>
    <n v="5"/>
    <n v="739.13"/>
    <s v="Customer C7163"/>
    <x v="0"/>
    <x v="2"/>
    <x v="2"/>
    <n v="3695.65"/>
    <x v="8"/>
    <n v="2023"/>
    <s v="High Sales"/>
  </r>
  <r>
    <s v="C3257"/>
    <x v="6"/>
    <d v="2023-06-09T00:00:00"/>
    <n v="6"/>
    <n v="187.11"/>
    <s v="Customer C3257"/>
    <x v="1"/>
    <x v="1"/>
    <x v="0"/>
    <n v="1122.6600000000001"/>
    <x v="1"/>
    <n v="2023"/>
    <s v="Low Sales"/>
  </r>
  <r>
    <s v="C3519"/>
    <x v="0"/>
    <d v="2023-10-28T00:00:00"/>
    <n v="8"/>
    <n v="250.47"/>
    <s v="Customer C3519"/>
    <x v="2"/>
    <x v="1"/>
    <x v="4"/>
    <n v="2003.76"/>
    <x v="9"/>
    <n v="2023"/>
    <s v="High Sales"/>
  </r>
  <r>
    <s v="C6676"/>
    <x v="3"/>
    <d v="2024-10-01T00:00:00"/>
    <n v="5"/>
    <n v="22.01"/>
    <s v="Customer C6676"/>
    <x v="2"/>
    <x v="1"/>
    <x v="2"/>
    <n v="110.05"/>
    <x v="9"/>
    <n v="2024"/>
    <s v="Low Sales"/>
  </r>
  <r>
    <s v="C4998"/>
    <x v="3"/>
    <d v="2024-02-06T00:00:00"/>
    <n v="2"/>
    <n v="591.47"/>
    <s v="Customer C4998"/>
    <x v="2"/>
    <x v="0"/>
    <x v="0"/>
    <n v="1182.94"/>
    <x v="5"/>
    <n v="2024"/>
    <s v="Low Sales"/>
  </r>
  <r>
    <s v="C7027"/>
    <x v="1"/>
    <d v="2025-06-29T00:00:00"/>
    <n v="1"/>
    <n v="626.28"/>
    <s v="Customer C7027"/>
    <x v="2"/>
    <x v="1"/>
    <x v="1"/>
    <n v="626.28"/>
    <x v="1"/>
    <n v="2025"/>
    <s v="Low Sales"/>
  </r>
  <r>
    <s v="C6424"/>
    <x v="6"/>
    <d v="2025-05-09T00:00:00"/>
    <n v="8"/>
    <n v="507.73"/>
    <s v="Customer C6424"/>
    <x v="2"/>
    <x v="3"/>
    <x v="4"/>
    <n v="4061.84"/>
    <x v="10"/>
    <n v="2025"/>
    <s v="High Sales"/>
  </r>
  <r>
    <s v="C2203"/>
    <x v="1"/>
    <d v="2024-12-24T00:00:00"/>
    <n v="6"/>
    <n v="643.14"/>
    <s v="Customer C2203"/>
    <x v="2"/>
    <x v="3"/>
    <x v="0"/>
    <n v="3858.84"/>
    <x v="8"/>
    <n v="2024"/>
    <s v="High Sales"/>
  </r>
  <r>
    <s v="C8328"/>
    <x v="0"/>
    <d v="2024-12-12T00:00:00"/>
    <n v="7"/>
    <n v="391.81"/>
    <s v="Customer C8328"/>
    <x v="1"/>
    <x v="0"/>
    <x v="0"/>
    <n v="2742.67"/>
    <x v="8"/>
    <n v="2024"/>
    <s v="High Sales"/>
  </r>
  <r>
    <s v="C3976"/>
    <x v="1"/>
    <d v="2025-05-08T00:00:00"/>
    <n v="6"/>
    <n v="202.43"/>
    <s v="Customer C3976"/>
    <x v="1"/>
    <x v="2"/>
    <x v="3"/>
    <n v="1214.58"/>
    <x v="10"/>
    <n v="2025"/>
    <s v="Low Sales"/>
  </r>
  <r>
    <s v="C7680"/>
    <x v="0"/>
    <d v="2023-08-16T00:00:00"/>
    <n v="7"/>
    <n v="659.11"/>
    <s v="Customer C7680"/>
    <x v="0"/>
    <x v="4"/>
    <x v="3"/>
    <n v="4613.7700000000004"/>
    <x v="4"/>
    <n v="2023"/>
    <s v="High Sales"/>
  </r>
  <r>
    <s v="C8829"/>
    <x v="5"/>
    <d v="2023-11-08T00:00:00"/>
    <n v="2"/>
    <n v="269.64999999999998"/>
    <s v="Customer C8829"/>
    <x v="1"/>
    <x v="2"/>
    <x v="1"/>
    <n v="539.29999999999995"/>
    <x v="7"/>
    <n v="2023"/>
    <s v="Low Sales"/>
  </r>
  <r>
    <s v="C3251"/>
    <x v="2"/>
    <d v="2024-04-15T00:00:00"/>
    <n v="7"/>
    <n v="161.44999999999999"/>
    <s v="Customer C3251"/>
    <x v="2"/>
    <x v="3"/>
    <x v="2"/>
    <n v="1130.1500000000001"/>
    <x v="3"/>
    <n v="2024"/>
    <s v="Low Sales"/>
  </r>
  <r>
    <s v="C9750"/>
    <x v="4"/>
    <d v="2024-07-27T00:00:00"/>
    <n v="8"/>
    <n v="254.9"/>
    <s v="Customer C9750"/>
    <x v="2"/>
    <x v="0"/>
    <x v="4"/>
    <n v="2039.2"/>
    <x v="11"/>
    <n v="2024"/>
    <s v="High Sales"/>
  </r>
  <r>
    <s v="C9428"/>
    <x v="3"/>
    <d v="2024-09-03T00:00:00"/>
    <n v="7"/>
    <n v="333.9"/>
    <s v="Customer C9428"/>
    <x v="2"/>
    <x v="2"/>
    <x v="3"/>
    <n v="2337.3000000000002"/>
    <x v="2"/>
    <n v="2024"/>
    <s v="High Sales"/>
  </r>
  <r>
    <s v="C7405"/>
    <x v="5"/>
    <d v="2024-05-26T00:00:00"/>
    <n v="5"/>
    <n v="635.66"/>
    <s v="Customer C7405"/>
    <x v="0"/>
    <x v="4"/>
    <x v="0"/>
    <n v="3178.3"/>
    <x v="10"/>
    <n v="2024"/>
    <s v="High Sales"/>
  </r>
  <r>
    <s v="C3458"/>
    <x v="2"/>
    <d v="2023-10-26T00:00:00"/>
    <n v="4"/>
    <n v="454.98"/>
    <s v="Customer C3458"/>
    <x v="2"/>
    <x v="0"/>
    <x v="1"/>
    <n v="1819.92"/>
    <x v="9"/>
    <n v="2023"/>
    <s v="Low Sales"/>
  </r>
  <r>
    <s v="C8746"/>
    <x v="6"/>
    <d v="2024-03-14T00:00:00"/>
    <n v="7"/>
    <n v="518.5"/>
    <s v="Customer C8746"/>
    <x v="1"/>
    <x v="0"/>
    <x v="1"/>
    <n v="3629.5"/>
    <x v="0"/>
    <n v="2024"/>
    <s v="High Sales"/>
  </r>
  <r>
    <s v="C6607"/>
    <x v="2"/>
    <d v="2023-05-25T00:00:00"/>
    <n v="4"/>
    <n v="620.34"/>
    <s v="Customer C6607"/>
    <x v="2"/>
    <x v="0"/>
    <x v="3"/>
    <n v="2481.36"/>
    <x v="10"/>
    <n v="2023"/>
    <s v="High Sales"/>
  </r>
  <r>
    <s v="C5320"/>
    <x v="5"/>
    <d v="2023-05-14T00:00:00"/>
    <n v="1"/>
    <n v="746.81"/>
    <s v="Customer C5320"/>
    <x v="2"/>
    <x v="4"/>
    <x v="3"/>
    <n v="746.81"/>
    <x v="10"/>
    <n v="2023"/>
    <s v="Low Sales"/>
  </r>
  <r>
    <s v="C7487"/>
    <x v="3"/>
    <d v="2023-05-07T00:00:00"/>
    <n v="8"/>
    <n v="58.61"/>
    <s v="Customer C7487"/>
    <x v="1"/>
    <x v="4"/>
    <x v="3"/>
    <n v="468.88"/>
    <x v="10"/>
    <n v="2023"/>
    <s v="Low Sales"/>
  </r>
  <r>
    <s v="C3845"/>
    <x v="4"/>
    <d v="2025-02-10T00:00:00"/>
    <n v="5"/>
    <n v="315.82"/>
    <s v="Customer C3845"/>
    <x v="0"/>
    <x v="3"/>
    <x v="3"/>
    <n v="1579.1"/>
    <x v="5"/>
    <n v="2025"/>
    <s v="Low Sales"/>
  </r>
  <r>
    <s v="C4839"/>
    <x v="4"/>
    <d v="2025-01-20T00:00:00"/>
    <n v="7"/>
    <n v="748.3"/>
    <s v="Customer C4839"/>
    <x v="0"/>
    <x v="3"/>
    <x v="1"/>
    <n v="5238.0999999999995"/>
    <x v="6"/>
    <n v="2025"/>
    <s v="High Sales"/>
  </r>
  <r>
    <s v="C6350"/>
    <x v="6"/>
    <d v="2024-03-09T00:00:00"/>
    <n v="4"/>
    <n v="480.82"/>
    <s v="Customer C6350"/>
    <x v="1"/>
    <x v="2"/>
    <x v="4"/>
    <n v="1923.28"/>
    <x v="0"/>
    <n v="2024"/>
    <s v="Low Sales"/>
  </r>
  <r>
    <s v="C3527"/>
    <x v="3"/>
    <d v="2023-05-20T00:00:00"/>
    <n v="8"/>
    <n v="11.23"/>
    <s v="Customer C3527"/>
    <x v="2"/>
    <x v="2"/>
    <x v="3"/>
    <n v="89.84"/>
    <x v="10"/>
    <n v="2023"/>
    <s v="Low Sales"/>
  </r>
  <r>
    <s v="C5506"/>
    <x v="5"/>
    <d v="2023-11-23T00:00:00"/>
    <n v="2"/>
    <n v="126.04"/>
    <s v="Customer C5506"/>
    <x v="1"/>
    <x v="0"/>
    <x v="4"/>
    <n v="252.08"/>
    <x v="7"/>
    <n v="2023"/>
    <s v="Low Sales"/>
  </r>
  <r>
    <s v="C4024"/>
    <x v="1"/>
    <d v="2024-11-28T00:00:00"/>
    <n v="8"/>
    <n v="22.26"/>
    <s v="Customer C4024"/>
    <x v="1"/>
    <x v="1"/>
    <x v="1"/>
    <n v="178.08"/>
    <x v="7"/>
    <n v="2024"/>
    <s v="Low Sales"/>
  </r>
  <r>
    <s v="C9717"/>
    <x v="0"/>
    <d v="2024-11-09T00:00:00"/>
    <n v="8"/>
    <n v="168.94"/>
    <s v="Customer C9717"/>
    <x v="1"/>
    <x v="3"/>
    <x v="0"/>
    <n v="1351.52"/>
    <x v="7"/>
    <n v="2024"/>
    <s v="Low Sales"/>
  </r>
  <r>
    <s v="C7816"/>
    <x v="2"/>
    <d v="2025-03-08T00:00:00"/>
    <n v="8"/>
    <n v="16.07"/>
    <s v="Customer C7816"/>
    <x v="1"/>
    <x v="3"/>
    <x v="1"/>
    <n v="128.56"/>
    <x v="0"/>
    <n v="2025"/>
    <s v="Low Sales"/>
  </r>
  <r>
    <s v="C6871"/>
    <x v="6"/>
    <d v="2024-05-17T00:00:00"/>
    <n v="6"/>
    <n v="450.3"/>
    <s v="Customer C6871"/>
    <x v="2"/>
    <x v="3"/>
    <x v="0"/>
    <n v="2701.8"/>
    <x v="10"/>
    <n v="2024"/>
    <s v="High Sales"/>
  </r>
  <r>
    <s v="C1180"/>
    <x v="4"/>
    <d v="2024-03-03T00:00:00"/>
    <n v="3"/>
    <n v="457.26"/>
    <s v="Customer C1180"/>
    <x v="1"/>
    <x v="0"/>
    <x v="3"/>
    <n v="1371.78"/>
    <x v="0"/>
    <n v="2024"/>
    <s v="Low Sales"/>
  </r>
  <r>
    <s v="C9079"/>
    <x v="6"/>
    <d v="2023-12-02T00:00:00"/>
    <n v="8"/>
    <n v="566.57000000000005"/>
    <s v="Customer C9079"/>
    <x v="0"/>
    <x v="4"/>
    <x v="3"/>
    <n v="4532.5600000000004"/>
    <x v="8"/>
    <n v="2023"/>
    <s v="High Sales"/>
  </r>
  <r>
    <s v="C5178"/>
    <x v="3"/>
    <d v="2024-04-13T00:00:00"/>
    <n v="4"/>
    <n v="718.59"/>
    <s v="Customer C5178"/>
    <x v="2"/>
    <x v="4"/>
    <x v="2"/>
    <n v="2874.36"/>
    <x v="3"/>
    <n v="2024"/>
    <s v="High Sales"/>
  </r>
  <r>
    <s v="C8311"/>
    <x v="4"/>
    <d v="2025-02-24T00:00:00"/>
    <n v="3"/>
    <n v="404.76"/>
    <s v="Customer C8311"/>
    <x v="1"/>
    <x v="3"/>
    <x v="0"/>
    <n v="1214.28"/>
    <x v="5"/>
    <n v="2025"/>
    <s v="Low Sales"/>
  </r>
  <r>
    <s v="C8449"/>
    <x v="3"/>
    <d v="2024-05-24T00:00:00"/>
    <n v="1"/>
    <n v="385.9"/>
    <s v="Customer C8449"/>
    <x v="1"/>
    <x v="0"/>
    <x v="3"/>
    <n v="385.9"/>
    <x v="10"/>
    <n v="2024"/>
    <s v="Low Sales"/>
  </r>
  <r>
    <s v="C4161"/>
    <x v="4"/>
    <d v="2024-08-10T00:00:00"/>
    <n v="8"/>
    <n v="486.92"/>
    <s v="Customer C4161"/>
    <x v="1"/>
    <x v="2"/>
    <x v="2"/>
    <n v="3895.36"/>
    <x v="4"/>
    <n v="2024"/>
    <s v="High Sales"/>
  </r>
  <r>
    <s v="C8260"/>
    <x v="6"/>
    <d v="2023-01-27T00:00:00"/>
    <n v="2"/>
    <n v="377.71"/>
    <s v="Customer C8260"/>
    <x v="2"/>
    <x v="0"/>
    <x v="3"/>
    <n v="755.42"/>
    <x v="6"/>
    <n v="2023"/>
    <s v="Low Sales"/>
  </r>
  <r>
    <s v="C5877"/>
    <x v="3"/>
    <d v="2024-02-25T00:00:00"/>
    <n v="2"/>
    <n v="294.14"/>
    <s v="Customer C5877"/>
    <x v="0"/>
    <x v="1"/>
    <x v="1"/>
    <n v="588.28"/>
    <x v="5"/>
    <n v="2024"/>
    <s v="Low Sales"/>
  </r>
  <r>
    <s v="C5935"/>
    <x v="0"/>
    <d v="2024-07-13T00:00:00"/>
    <n v="4"/>
    <n v="793.47"/>
    <s v="Customer C5935"/>
    <x v="0"/>
    <x v="0"/>
    <x v="0"/>
    <n v="3173.88"/>
    <x v="11"/>
    <n v="2024"/>
    <s v="High Sales"/>
  </r>
  <r>
    <s v="C1822"/>
    <x v="3"/>
    <d v="2023-10-25T00:00:00"/>
    <n v="4"/>
    <n v="449.17"/>
    <s v="Customer C1822"/>
    <x v="1"/>
    <x v="0"/>
    <x v="3"/>
    <n v="1796.68"/>
    <x v="9"/>
    <n v="2023"/>
    <s v="Low Sales"/>
  </r>
  <r>
    <s v="C1338"/>
    <x v="5"/>
    <d v="2024-03-21T00:00:00"/>
    <n v="8"/>
    <n v="70.27"/>
    <s v="Customer C1338"/>
    <x v="1"/>
    <x v="3"/>
    <x v="3"/>
    <n v="562.16"/>
    <x v="0"/>
    <n v="2024"/>
    <s v="Low Sales"/>
  </r>
  <r>
    <s v="C7009"/>
    <x v="0"/>
    <d v="2024-06-17T00:00:00"/>
    <n v="7"/>
    <n v="612.41"/>
    <s v="Customer C7009"/>
    <x v="2"/>
    <x v="4"/>
    <x v="4"/>
    <n v="4286.87"/>
    <x v="1"/>
    <n v="2024"/>
    <s v="High Sales"/>
  </r>
  <r>
    <s v="C8077"/>
    <x v="3"/>
    <d v="2024-10-04T00:00:00"/>
    <n v="8"/>
    <n v="349.4"/>
    <s v="Customer C8077"/>
    <x v="1"/>
    <x v="1"/>
    <x v="4"/>
    <n v="2795.2"/>
    <x v="9"/>
    <n v="2024"/>
    <s v="High Sales"/>
  </r>
  <r>
    <s v="C3641"/>
    <x v="3"/>
    <d v="2024-03-04T00:00:00"/>
    <n v="1"/>
    <n v="113.78"/>
    <s v="Customer C3641"/>
    <x v="1"/>
    <x v="3"/>
    <x v="2"/>
    <n v="113.78"/>
    <x v="0"/>
    <n v="2024"/>
    <s v="Low Sales"/>
  </r>
  <r>
    <s v="C5544"/>
    <x v="6"/>
    <d v="2023-03-11T00:00:00"/>
    <n v="4"/>
    <n v="64.23"/>
    <s v="Customer C5544"/>
    <x v="1"/>
    <x v="2"/>
    <x v="2"/>
    <n v="256.92"/>
    <x v="0"/>
    <n v="2023"/>
    <s v="Low Sales"/>
  </r>
  <r>
    <s v="C9446"/>
    <x v="1"/>
    <d v="2023-05-12T00:00:00"/>
    <n v="4"/>
    <n v="176.79"/>
    <s v="Customer C9446"/>
    <x v="0"/>
    <x v="3"/>
    <x v="4"/>
    <n v="707.16"/>
    <x v="10"/>
    <n v="2023"/>
    <s v="Low Sales"/>
  </r>
  <r>
    <s v="C3722"/>
    <x v="3"/>
    <d v="2023-10-08T00:00:00"/>
    <n v="1"/>
    <n v="314.94"/>
    <s v="Customer C3722"/>
    <x v="0"/>
    <x v="1"/>
    <x v="3"/>
    <n v="314.94"/>
    <x v="9"/>
    <n v="2023"/>
    <s v="Low Sales"/>
  </r>
  <r>
    <s v="C1319"/>
    <x v="3"/>
    <d v="2025-04-09T00:00:00"/>
    <n v="4"/>
    <n v="159.33000000000001"/>
    <s v="Customer C1319"/>
    <x v="1"/>
    <x v="3"/>
    <x v="1"/>
    <n v="637.32000000000005"/>
    <x v="3"/>
    <n v="2025"/>
    <s v="Low Sales"/>
  </r>
  <r>
    <s v="C5922"/>
    <x v="0"/>
    <d v="2023-03-20T00:00:00"/>
    <n v="7"/>
    <n v="497.96"/>
    <s v="Customer C5922"/>
    <x v="1"/>
    <x v="4"/>
    <x v="4"/>
    <n v="3485.72"/>
    <x v="0"/>
    <n v="2023"/>
    <s v="High Sales"/>
  </r>
  <r>
    <s v="C6723"/>
    <x v="3"/>
    <d v="2024-04-15T00:00:00"/>
    <n v="4"/>
    <n v="775.29"/>
    <s v="Customer C6723"/>
    <x v="2"/>
    <x v="0"/>
    <x v="4"/>
    <n v="3101.16"/>
    <x v="3"/>
    <n v="2024"/>
    <s v="High Sales"/>
  </r>
  <r>
    <s v="C7409"/>
    <x v="5"/>
    <d v="2024-02-17T00:00:00"/>
    <n v="8"/>
    <n v="675.18"/>
    <s v="Customer C7409"/>
    <x v="1"/>
    <x v="3"/>
    <x v="3"/>
    <n v="5401.44"/>
    <x v="5"/>
    <n v="2024"/>
    <s v="High Sales"/>
  </r>
  <r>
    <s v="C5331"/>
    <x v="2"/>
    <d v="2024-07-05T00:00:00"/>
    <n v="4"/>
    <n v="522.89"/>
    <s v="Customer C5331"/>
    <x v="0"/>
    <x v="1"/>
    <x v="2"/>
    <n v="2091.56"/>
    <x v="11"/>
    <n v="2024"/>
    <s v="High Sales"/>
  </r>
  <r>
    <s v="C1483"/>
    <x v="3"/>
    <d v="2025-05-02T00:00:00"/>
    <n v="6"/>
    <n v="70.87"/>
    <s v="Customer C1483"/>
    <x v="1"/>
    <x v="1"/>
    <x v="2"/>
    <n v="425.22"/>
    <x v="10"/>
    <n v="2025"/>
    <s v="Low Sales"/>
  </r>
  <r>
    <s v="C1248"/>
    <x v="5"/>
    <d v="2023-08-24T00:00:00"/>
    <n v="5"/>
    <n v="383.03"/>
    <s v="Customer C1248"/>
    <x v="2"/>
    <x v="4"/>
    <x v="3"/>
    <n v="1915.15"/>
    <x v="4"/>
    <n v="2023"/>
    <s v="Low Sales"/>
  </r>
  <r>
    <s v="C3477"/>
    <x v="4"/>
    <d v="2024-05-05T00:00:00"/>
    <n v="5"/>
    <n v="186.86"/>
    <s v="Customer C3477"/>
    <x v="2"/>
    <x v="3"/>
    <x v="3"/>
    <n v="934.30000000000007"/>
    <x v="10"/>
    <n v="2024"/>
    <s v="Low Sales"/>
  </r>
  <r>
    <s v="C5639"/>
    <x v="1"/>
    <d v="2024-03-12T00:00:00"/>
    <n v="5"/>
    <n v="209.86"/>
    <s v="Customer C5639"/>
    <x v="2"/>
    <x v="4"/>
    <x v="4"/>
    <n v="1049.3"/>
    <x v="0"/>
    <n v="2024"/>
    <s v="Low Sales"/>
  </r>
  <r>
    <s v="C9443"/>
    <x v="3"/>
    <d v="2023-06-01T00:00:00"/>
    <n v="1"/>
    <n v="114.84"/>
    <s v="Customer C9443"/>
    <x v="1"/>
    <x v="2"/>
    <x v="4"/>
    <n v="114.84"/>
    <x v="1"/>
    <n v="2023"/>
    <s v="Low Sales"/>
  </r>
  <r>
    <s v="C4274"/>
    <x v="1"/>
    <d v="2024-11-05T00:00:00"/>
    <n v="8"/>
    <n v="374.39"/>
    <s v="Customer C4274"/>
    <x v="2"/>
    <x v="1"/>
    <x v="1"/>
    <n v="2995.12"/>
    <x v="7"/>
    <n v="2024"/>
    <s v="High Sales"/>
  </r>
  <r>
    <s v="C4699"/>
    <x v="5"/>
    <d v="2023-04-18T00:00:00"/>
    <n v="7"/>
    <n v="494.18"/>
    <s v="Customer C4699"/>
    <x v="0"/>
    <x v="4"/>
    <x v="3"/>
    <n v="3459.26"/>
    <x v="3"/>
    <n v="2023"/>
    <s v="High Sales"/>
  </r>
  <r>
    <s v="C4034"/>
    <x v="1"/>
    <d v="2023-11-09T00:00:00"/>
    <n v="4"/>
    <n v="780.37"/>
    <s v="Customer C4034"/>
    <x v="1"/>
    <x v="4"/>
    <x v="3"/>
    <n v="3121.48"/>
    <x v="7"/>
    <n v="2023"/>
    <s v="High Sales"/>
  </r>
  <r>
    <s v="C3926"/>
    <x v="1"/>
    <d v="2024-03-05T00:00:00"/>
    <n v="6"/>
    <n v="766.8"/>
    <s v="Customer C3926"/>
    <x v="1"/>
    <x v="1"/>
    <x v="3"/>
    <n v="4600.7999999999993"/>
    <x v="0"/>
    <n v="2024"/>
    <s v="High Sales"/>
  </r>
  <r>
    <s v="C4272"/>
    <x v="5"/>
    <d v="2023-10-28T00:00:00"/>
    <n v="7"/>
    <n v="59.51"/>
    <s v="Customer C4272"/>
    <x v="1"/>
    <x v="0"/>
    <x v="1"/>
    <n v="416.57"/>
    <x v="9"/>
    <n v="2023"/>
    <s v="Low Sales"/>
  </r>
  <r>
    <s v="C4445"/>
    <x v="3"/>
    <d v="2024-12-17T00:00:00"/>
    <n v="5"/>
    <n v="457.47"/>
    <s v="Customer C4445"/>
    <x v="1"/>
    <x v="3"/>
    <x v="0"/>
    <n v="2287.35"/>
    <x v="8"/>
    <n v="2024"/>
    <s v="High Sales"/>
  </r>
  <r>
    <s v="C1588"/>
    <x v="5"/>
    <d v="2025-06-26T00:00:00"/>
    <n v="2"/>
    <n v="746.79"/>
    <s v="Customer C1588"/>
    <x v="2"/>
    <x v="2"/>
    <x v="0"/>
    <n v="1493.58"/>
    <x v="1"/>
    <n v="2025"/>
    <s v="Low Sales"/>
  </r>
  <r>
    <s v="C3970"/>
    <x v="4"/>
    <d v="2025-01-06T00:00:00"/>
    <n v="3"/>
    <n v="406.07"/>
    <s v="Customer C3970"/>
    <x v="0"/>
    <x v="0"/>
    <x v="1"/>
    <n v="1218.21"/>
    <x v="6"/>
    <n v="2025"/>
    <s v="Low Sales"/>
  </r>
  <r>
    <s v="C8554"/>
    <x v="2"/>
    <d v="2023-12-22T00:00:00"/>
    <n v="7"/>
    <n v="450.13"/>
    <s v="Customer C8554"/>
    <x v="2"/>
    <x v="3"/>
    <x v="4"/>
    <n v="3150.91"/>
    <x v="8"/>
    <n v="2023"/>
    <s v="High Sales"/>
  </r>
  <r>
    <s v="C3081"/>
    <x v="1"/>
    <d v="2025-03-16T00:00:00"/>
    <n v="3"/>
    <n v="253.17"/>
    <s v="Customer C3081"/>
    <x v="1"/>
    <x v="4"/>
    <x v="3"/>
    <n v="759.51"/>
    <x v="0"/>
    <n v="2025"/>
    <s v="Low Sales"/>
  </r>
  <r>
    <s v="C6559"/>
    <x v="3"/>
    <d v="2025-06-18T00:00:00"/>
    <n v="1"/>
    <n v="52.44"/>
    <s v="Customer C6559"/>
    <x v="0"/>
    <x v="2"/>
    <x v="4"/>
    <n v="52.44"/>
    <x v="1"/>
    <n v="2025"/>
    <s v="Low Sales"/>
  </r>
  <r>
    <s v="C2378"/>
    <x v="0"/>
    <d v="2023-08-10T00:00:00"/>
    <n v="5"/>
    <n v="389.16"/>
    <s v="Customer C2378"/>
    <x v="2"/>
    <x v="4"/>
    <x v="1"/>
    <n v="1945.8"/>
    <x v="4"/>
    <n v="2023"/>
    <s v="Low Sales"/>
  </r>
  <r>
    <s v="C4367"/>
    <x v="2"/>
    <d v="2024-04-11T00:00:00"/>
    <n v="6"/>
    <n v="453.57"/>
    <s v="Customer C4367"/>
    <x v="0"/>
    <x v="2"/>
    <x v="0"/>
    <n v="2721.42"/>
    <x v="3"/>
    <n v="2024"/>
    <s v="High Sales"/>
  </r>
  <r>
    <s v="C6028"/>
    <x v="4"/>
    <d v="2023-04-05T00:00:00"/>
    <n v="6"/>
    <n v="137.88"/>
    <s v="Customer C6028"/>
    <x v="0"/>
    <x v="2"/>
    <x v="0"/>
    <n v="827.28"/>
    <x v="3"/>
    <n v="2023"/>
    <s v="Low Sales"/>
  </r>
  <r>
    <s v="C2063"/>
    <x v="2"/>
    <d v="2023-08-02T00:00:00"/>
    <n v="2"/>
    <n v="183.53"/>
    <s v="Customer C2063"/>
    <x v="0"/>
    <x v="0"/>
    <x v="4"/>
    <n v="367.06"/>
    <x v="4"/>
    <n v="2023"/>
    <s v="Low Sales"/>
  </r>
  <r>
    <s v="C3076"/>
    <x v="0"/>
    <d v="2024-01-06T00:00:00"/>
    <n v="5"/>
    <n v="771.5"/>
    <s v="Customer C3076"/>
    <x v="1"/>
    <x v="0"/>
    <x v="2"/>
    <n v="3857.5"/>
    <x v="6"/>
    <n v="2024"/>
    <s v="High Sales"/>
  </r>
  <r>
    <s v="C8618"/>
    <x v="4"/>
    <d v="2023-05-12T00:00:00"/>
    <n v="6"/>
    <n v="428.16"/>
    <s v="Customer C8618"/>
    <x v="0"/>
    <x v="0"/>
    <x v="1"/>
    <n v="2568.96"/>
    <x v="10"/>
    <n v="2023"/>
    <s v="High Sales"/>
  </r>
  <r>
    <s v="C3381"/>
    <x v="6"/>
    <d v="2025-02-12T00:00:00"/>
    <n v="8"/>
    <n v="184.05"/>
    <s v="Customer C3381"/>
    <x v="2"/>
    <x v="1"/>
    <x v="4"/>
    <n v="1472.4"/>
    <x v="5"/>
    <n v="2025"/>
    <s v="Low Sales"/>
  </r>
  <r>
    <s v="C2881"/>
    <x v="1"/>
    <d v="2025-05-16T00:00:00"/>
    <n v="8"/>
    <n v="99.49"/>
    <s v="Customer C2881"/>
    <x v="2"/>
    <x v="2"/>
    <x v="3"/>
    <n v="795.92"/>
    <x v="10"/>
    <n v="2025"/>
    <s v="Low Sales"/>
  </r>
  <r>
    <s v="C4730"/>
    <x v="2"/>
    <d v="2023-10-01T00:00:00"/>
    <n v="7"/>
    <n v="773.06"/>
    <s v="Customer C4730"/>
    <x v="1"/>
    <x v="3"/>
    <x v="4"/>
    <n v="5411.42"/>
    <x v="9"/>
    <n v="2023"/>
    <s v="High Sales"/>
  </r>
  <r>
    <s v="C4685"/>
    <x v="1"/>
    <d v="2024-05-16T00:00:00"/>
    <n v="8"/>
    <n v="526.76"/>
    <s v="Customer C4685"/>
    <x v="0"/>
    <x v="2"/>
    <x v="3"/>
    <n v="4214.08"/>
    <x v="10"/>
    <n v="2024"/>
    <s v="High Sales"/>
  </r>
  <r>
    <s v="C9159"/>
    <x v="1"/>
    <d v="2023-04-25T00:00:00"/>
    <n v="6"/>
    <n v="98.54"/>
    <s v="Customer C9159"/>
    <x v="0"/>
    <x v="4"/>
    <x v="2"/>
    <n v="591.24"/>
    <x v="3"/>
    <n v="2023"/>
    <s v="Low Sales"/>
  </r>
  <r>
    <s v="C1854"/>
    <x v="6"/>
    <d v="2025-02-05T00:00:00"/>
    <n v="7"/>
    <n v="751.2"/>
    <s v="Customer C1854"/>
    <x v="0"/>
    <x v="0"/>
    <x v="4"/>
    <n v="5258.4000000000005"/>
    <x v="5"/>
    <n v="2025"/>
    <s v="High Sales"/>
  </r>
  <r>
    <s v="C1366"/>
    <x v="6"/>
    <d v="2023-09-30T00:00:00"/>
    <n v="2"/>
    <n v="721.89"/>
    <s v="Customer C1366"/>
    <x v="0"/>
    <x v="3"/>
    <x v="4"/>
    <n v="1443.78"/>
    <x v="2"/>
    <n v="2023"/>
    <s v="Low Sales"/>
  </r>
  <r>
    <s v="C6636"/>
    <x v="2"/>
    <d v="2024-09-20T00:00:00"/>
    <n v="4"/>
    <n v="709.04"/>
    <s v="Customer C6636"/>
    <x v="0"/>
    <x v="1"/>
    <x v="3"/>
    <n v="2836.16"/>
    <x v="2"/>
    <n v="2024"/>
    <s v="High Sales"/>
  </r>
  <r>
    <s v="C7330"/>
    <x v="6"/>
    <d v="2023-11-11T00:00:00"/>
    <n v="1"/>
    <n v="776.79"/>
    <s v="Customer C7330"/>
    <x v="2"/>
    <x v="4"/>
    <x v="3"/>
    <n v="776.79"/>
    <x v="7"/>
    <n v="2023"/>
    <s v="Low Sales"/>
  </r>
  <r>
    <s v="C7613"/>
    <x v="5"/>
    <d v="2024-02-03T00:00:00"/>
    <n v="3"/>
    <n v="635.16999999999996"/>
    <s v="Customer C7613"/>
    <x v="1"/>
    <x v="4"/>
    <x v="3"/>
    <n v="1905.51"/>
    <x v="5"/>
    <n v="2024"/>
    <s v="Low Sales"/>
  </r>
  <r>
    <s v="C2719"/>
    <x v="0"/>
    <d v="2023-11-03T00:00:00"/>
    <n v="3"/>
    <n v="773.11"/>
    <s v="Customer C2719"/>
    <x v="2"/>
    <x v="1"/>
    <x v="2"/>
    <n v="2319.33"/>
    <x v="7"/>
    <n v="2023"/>
    <s v="High Sales"/>
  </r>
  <r>
    <s v="C3888"/>
    <x v="4"/>
    <d v="2023-11-12T00:00:00"/>
    <n v="8"/>
    <n v="397.16"/>
    <s v="Customer C3888"/>
    <x v="0"/>
    <x v="3"/>
    <x v="3"/>
    <n v="3177.28"/>
    <x v="7"/>
    <n v="2023"/>
    <s v="High Sales"/>
  </r>
  <r>
    <s v="C5790"/>
    <x v="6"/>
    <d v="2025-01-11T00:00:00"/>
    <n v="7"/>
    <n v="404.2"/>
    <s v="Customer C5790"/>
    <x v="0"/>
    <x v="4"/>
    <x v="0"/>
    <n v="2829.4"/>
    <x v="6"/>
    <n v="2025"/>
    <s v="High Sales"/>
  </r>
  <r>
    <s v="C6826"/>
    <x v="4"/>
    <d v="2025-06-28T00:00:00"/>
    <n v="5"/>
    <n v="375.93"/>
    <s v="Customer C6826"/>
    <x v="1"/>
    <x v="0"/>
    <x v="3"/>
    <n v="1879.65"/>
    <x v="1"/>
    <n v="2025"/>
    <s v="Low Sales"/>
  </r>
  <r>
    <s v="C7531"/>
    <x v="6"/>
    <d v="2024-10-14T00:00:00"/>
    <n v="8"/>
    <n v="651.34"/>
    <s v="Customer C7531"/>
    <x v="1"/>
    <x v="2"/>
    <x v="4"/>
    <n v="5210.72"/>
    <x v="9"/>
    <n v="2024"/>
    <s v="High Sales"/>
  </r>
  <r>
    <s v="C8257"/>
    <x v="2"/>
    <d v="2025-02-21T00:00:00"/>
    <n v="7"/>
    <n v="77.790000000000006"/>
    <s v="Customer C8257"/>
    <x v="0"/>
    <x v="0"/>
    <x v="4"/>
    <n v="544.53000000000009"/>
    <x v="5"/>
    <n v="2025"/>
    <s v="Low Sales"/>
  </r>
  <r>
    <s v="C4000"/>
    <x v="1"/>
    <d v="2024-10-19T00:00:00"/>
    <n v="3"/>
    <n v="556.14"/>
    <s v="Customer C4000"/>
    <x v="2"/>
    <x v="3"/>
    <x v="2"/>
    <n v="1668.42"/>
    <x v="9"/>
    <n v="2024"/>
    <s v="Low Sales"/>
  </r>
  <r>
    <s v="C9678"/>
    <x v="1"/>
    <d v="2023-06-08T00:00:00"/>
    <n v="2"/>
    <n v="544.39"/>
    <s v="Customer C9678"/>
    <x v="0"/>
    <x v="3"/>
    <x v="3"/>
    <n v="1088.78"/>
    <x v="1"/>
    <n v="2023"/>
    <s v="Low Sales"/>
  </r>
  <r>
    <s v="C1757"/>
    <x v="5"/>
    <d v="2025-01-02T00:00:00"/>
    <n v="7"/>
    <n v="387.04"/>
    <s v="Customer C1757"/>
    <x v="1"/>
    <x v="0"/>
    <x v="3"/>
    <n v="2709.28"/>
    <x v="6"/>
    <n v="2025"/>
    <s v="High Sales"/>
  </r>
  <r>
    <s v="C9093"/>
    <x v="2"/>
    <d v="2025-06-05T00:00:00"/>
    <n v="4"/>
    <n v="711.67"/>
    <s v="Customer C9093"/>
    <x v="1"/>
    <x v="2"/>
    <x v="4"/>
    <n v="2846.68"/>
    <x v="1"/>
    <n v="2025"/>
    <s v="High Sales"/>
  </r>
  <r>
    <s v="C4917"/>
    <x v="1"/>
    <d v="2024-06-06T00:00:00"/>
    <n v="1"/>
    <n v="347.08"/>
    <s v="Customer C4917"/>
    <x v="0"/>
    <x v="2"/>
    <x v="3"/>
    <n v="347.08"/>
    <x v="1"/>
    <n v="2024"/>
    <s v="Low Sales"/>
  </r>
  <r>
    <s v="C2967"/>
    <x v="4"/>
    <d v="2023-02-28T00:00:00"/>
    <n v="8"/>
    <n v="147.6"/>
    <s v="Customer C2967"/>
    <x v="1"/>
    <x v="0"/>
    <x v="2"/>
    <n v="1180.8"/>
    <x v="5"/>
    <n v="2023"/>
    <s v="Low Sales"/>
  </r>
  <r>
    <s v="C8428"/>
    <x v="1"/>
    <d v="2024-09-05T00:00:00"/>
    <n v="5"/>
    <n v="390.16"/>
    <s v="Customer C8428"/>
    <x v="1"/>
    <x v="4"/>
    <x v="1"/>
    <n v="1950.8"/>
    <x v="2"/>
    <n v="2024"/>
    <s v="Low Sales"/>
  </r>
  <r>
    <s v="C9984"/>
    <x v="6"/>
    <d v="2023-10-05T00:00:00"/>
    <n v="1"/>
    <n v="782.08"/>
    <s v="Customer C9984"/>
    <x v="2"/>
    <x v="2"/>
    <x v="2"/>
    <n v="782.08"/>
    <x v="9"/>
    <n v="2023"/>
    <s v="Low Sales"/>
  </r>
  <r>
    <s v="C8940"/>
    <x v="4"/>
    <d v="2024-12-31T00:00:00"/>
    <n v="7"/>
    <n v="170.39"/>
    <s v="Customer C8940"/>
    <x v="1"/>
    <x v="2"/>
    <x v="1"/>
    <n v="1192.73"/>
    <x v="8"/>
    <n v="2024"/>
    <s v="Low Sales"/>
  </r>
  <r>
    <s v="C2090"/>
    <x v="4"/>
    <d v="2024-03-23T00:00:00"/>
    <n v="2"/>
    <n v="352.65"/>
    <s v="Customer C2090"/>
    <x v="2"/>
    <x v="4"/>
    <x v="3"/>
    <n v="705.3"/>
    <x v="0"/>
    <n v="2024"/>
    <s v="Low Sales"/>
  </r>
  <r>
    <s v="C1187"/>
    <x v="3"/>
    <d v="2023-01-03T00:00:00"/>
    <n v="6"/>
    <n v="98.82"/>
    <s v="Customer C1187"/>
    <x v="1"/>
    <x v="4"/>
    <x v="0"/>
    <n v="592.91999999999996"/>
    <x v="6"/>
    <n v="2023"/>
    <s v="Low Sales"/>
  </r>
  <r>
    <s v="C6011"/>
    <x v="4"/>
    <d v="2024-07-16T00:00:00"/>
    <n v="4"/>
    <n v="175.63"/>
    <s v="Customer C6011"/>
    <x v="2"/>
    <x v="4"/>
    <x v="2"/>
    <n v="702.52"/>
    <x v="11"/>
    <n v="2024"/>
    <s v="Low Sales"/>
  </r>
  <r>
    <s v="C1215"/>
    <x v="5"/>
    <d v="2023-07-07T00:00:00"/>
    <n v="3"/>
    <n v="325.83999999999997"/>
    <s v="Customer C1215"/>
    <x v="1"/>
    <x v="2"/>
    <x v="0"/>
    <n v="977.52"/>
    <x v="11"/>
    <n v="2023"/>
    <s v="Low Sales"/>
  </r>
  <r>
    <s v="C4992"/>
    <x v="5"/>
    <d v="2023-08-31T00:00:00"/>
    <n v="1"/>
    <n v="13.47"/>
    <s v="Customer C4992"/>
    <x v="1"/>
    <x v="4"/>
    <x v="0"/>
    <n v="13.47"/>
    <x v="4"/>
    <n v="2023"/>
    <s v="Low Sales"/>
  </r>
  <r>
    <s v="C7557"/>
    <x v="6"/>
    <d v="2023-05-30T00:00:00"/>
    <n v="5"/>
    <n v="343.43"/>
    <s v="Customer C7557"/>
    <x v="1"/>
    <x v="1"/>
    <x v="4"/>
    <n v="1717.15"/>
    <x v="10"/>
    <n v="2023"/>
    <s v="Low Sales"/>
  </r>
  <r>
    <s v="C6835"/>
    <x v="4"/>
    <d v="2023-02-01T00:00:00"/>
    <n v="4"/>
    <n v="14.21"/>
    <s v="Customer C6835"/>
    <x v="1"/>
    <x v="2"/>
    <x v="1"/>
    <n v="56.84"/>
    <x v="5"/>
    <n v="2023"/>
    <s v="Low Sales"/>
  </r>
  <r>
    <s v="C4686"/>
    <x v="3"/>
    <d v="2023-08-19T00:00:00"/>
    <n v="4"/>
    <n v="776.74"/>
    <s v="Customer C4686"/>
    <x v="1"/>
    <x v="3"/>
    <x v="2"/>
    <n v="3106.96"/>
    <x v="4"/>
    <n v="2023"/>
    <s v="High Sales"/>
  </r>
  <r>
    <s v="C9570"/>
    <x v="3"/>
    <d v="2023-12-30T00:00:00"/>
    <n v="8"/>
    <n v="389.64"/>
    <s v="Customer C9570"/>
    <x v="1"/>
    <x v="2"/>
    <x v="2"/>
    <n v="3117.12"/>
    <x v="8"/>
    <n v="2023"/>
    <s v="High Sales"/>
  </r>
  <r>
    <s v="C5000"/>
    <x v="6"/>
    <d v="2024-07-15T00:00:00"/>
    <n v="5"/>
    <n v="762.58"/>
    <s v="Customer C5000"/>
    <x v="0"/>
    <x v="1"/>
    <x v="0"/>
    <n v="3812.9"/>
    <x v="11"/>
    <n v="2024"/>
    <s v="High Sales"/>
  </r>
  <r>
    <s v="C1179"/>
    <x v="4"/>
    <d v="2025-02-27T00:00:00"/>
    <n v="7"/>
    <n v="369.21"/>
    <s v="Customer C1179"/>
    <x v="2"/>
    <x v="3"/>
    <x v="0"/>
    <n v="2584.4699999999998"/>
    <x v="5"/>
    <n v="2025"/>
    <s v="High Sales"/>
  </r>
  <r>
    <s v="C7631"/>
    <x v="3"/>
    <d v="2023-12-27T00:00:00"/>
    <n v="5"/>
    <n v="551.55999999999995"/>
    <s v="Customer C7631"/>
    <x v="0"/>
    <x v="1"/>
    <x v="1"/>
    <n v="2757.8"/>
    <x v="8"/>
    <n v="2023"/>
    <s v="High Sales"/>
  </r>
  <r>
    <s v="C1909"/>
    <x v="2"/>
    <d v="2023-11-05T00:00:00"/>
    <n v="1"/>
    <n v="475.81"/>
    <s v="Customer C1909"/>
    <x v="1"/>
    <x v="0"/>
    <x v="1"/>
    <n v="475.81"/>
    <x v="7"/>
    <n v="2023"/>
    <s v="Low Sales"/>
  </r>
  <r>
    <s v="C9857"/>
    <x v="0"/>
    <d v="2025-05-22T00:00:00"/>
    <n v="4"/>
    <n v="139.85"/>
    <s v="Customer C9857"/>
    <x v="1"/>
    <x v="4"/>
    <x v="1"/>
    <n v="559.4"/>
    <x v="10"/>
    <n v="2025"/>
    <s v="Low Sales"/>
  </r>
  <r>
    <s v="C5591"/>
    <x v="6"/>
    <d v="2023-09-11T00:00:00"/>
    <n v="8"/>
    <n v="615.47"/>
    <s v="Customer C5591"/>
    <x v="1"/>
    <x v="3"/>
    <x v="3"/>
    <n v="4923.76"/>
    <x v="2"/>
    <n v="2023"/>
    <s v="High Sales"/>
  </r>
  <r>
    <s v="C1023"/>
    <x v="3"/>
    <d v="2024-05-01T00:00:00"/>
    <n v="8"/>
    <n v="149.28"/>
    <s v="Customer C1023"/>
    <x v="1"/>
    <x v="3"/>
    <x v="1"/>
    <n v="1194.24"/>
    <x v="10"/>
    <n v="2024"/>
    <s v="Low Sales"/>
  </r>
  <r>
    <s v="C7655"/>
    <x v="0"/>
    <d v="2023-02-19T00:00:00"/>
    <n v="7"/>
    <n v="345.77"/>
    <s v="Customer C7655"/>
    <x v="2"/>
    <x v="3"/>
    <x v="1"/>
    <n v="2420.39"/>
    <x v="5"/>
    <n v="2023"/>
    <s v="High Sales"/>
  </r>
  <r>
    <s v="C8711"/>
    <x v="4"/>
    <d v="2024-10-17T00:00:00"/>
    <n v="3"/>
    <n v="583.25"/>
    <s v="Customer C8711"/>
    <x v="0"/>
    <x v="0"/>
    <x v="0"/>
    <n v="1749.75"/>
    <x v="9"/>
    <n v="2024"/>
    <s v="Low Sales"/>
  </r>
  <r>
    <s v="C5032"/>
    <x v="1"/>
    <d v="2024-04-29T00:00:00"/>
    <n v="2"/>
    <n v="768.13"/>
    <s v="Customer C5032"/>
    <x v="2"/>
    <x v="0"/>
    <x v="3"/>
    <n v="1536.26"/>
    <x v="3"/>
    <n v="2024"/>
    <s v="Low Sales"/>
  </r>
  <r>
    <s v="C1091"/>
    <x v="1"/>
    <d v="2024-12-23T00:00:00"/>
    <n v="6"/>
    <n v="500.14"/>
    <s v="Customer C1091"/>
    <x v="0"/>
    <x v="4"/>
    <x v="3"/>
    <n v="3000.84"/>
    <x v="8"/>
    <n v="2024"/>
    <s v="High Sales"/>
  </r>
  <r>
    <s v="C9749"/>
    <x v="6"/>
    <d v="2024-08-13T00:00:00"/>
    <n v="1"/>
    <n v="740.42"/>
    <s v="Customer C9749"/>
    <x v="1"/>
    <x v="4"/>
    <x v="2"/>
    <n v="740.42"/>
    <x v="4"/>
    <n v="2024"/>
    <s v="Low Sales"/>
  </r>
  <r>
    <s v="C9678"/>
    <x v="4"/>
    <d v="2023-01-06T00:00:00"/>
    <n v="7"/>
    <n v="579.37"/>
    <s v="Customer C9678"/>
    <x v="1"/>
    <x v="4"/>
    <x v="0"/>
    <n v="4055.59"/>
    <x v="6"/>
    <n v="2023"/>
    <s v="High Sales"/>
  </r>
  <r>
    <s v="C4348"/>
    <x v="0"/>
    <d v="2024-06-16T00:00:00"/>
    <n v="7"/>
    <n v="700.67"/>
    <s v="Customer C4348"/>
    <x v="2"/>
    <x v="4"/>
    <x v="3"/>
    <n v="4904.6899999999996"/>
    <x v="1"/>
    <n v="2024"/>
    <s v="High Sales"/>
  </r>
  <r>
    <s v="C3161"/>
    <x v="1"/>
    <d v="2024-11-20T00:00:00"/>
    <n v="6"/>
    <n v="289.11"/>
    <s v="Customer C3161"/>
    <x v="1"/>
    <x v="3"/>
    <x v="0"/>
    <n v="1734.66"/>
    <x v="7"/>
    <n v="2024"/>
    <s v="Low Sales"/>
  </r>
  <r>
    <s v="C3059"/>
    <x v="2"/>
    <d v="2024-09-29T00:00:00"/>
    <n v="2"/>
    <n v="339.11"/>
    <s v="Customer C3059"/>
    <x v="1"/>
    <x v="1"/>
    <x v="4"/>
    <n v="678.22"/>
    <x v="2"/>
    <n v="2024"/>
    <s v="Low Sales"/>
  </r>
  <r>
    <s v="C3402"/>
    <x v="2"/>
    <d v="2025-01-06T00:00:00"/>
    <n v="7"/>
    <n v="206.05"/>
    <s v="Customer C3402"/>
    <x v="1"/>
    <x v="3"/>
    <x v="0"/>
    <n v="1442.35"/>
    <x v="6"/>
    <n v="2025"/>
    <s v="Low Sales"/>
  </r>
  <r>
    <s v="C6737"/>
    <x v="5"/>
    <d v="2025-03-03T00:00:00"/>
    <n v="1"/>
    <n v="264.41000000000003"/>
    <s v="Customer C6737"/>
    <x v="0"/>
    <x v="1"/>
    <x v="1"/>
    <n v="264.41000000000003"/>
    <x v="0"/>
    <n v="2025"/>
    <s v="Low Sales"/>
  </r>
  <r>
    <s v="C7118"/>
    <x v="4"/>
    <d v="2023-05-25T00:00:00"/>
    <n v="6"/>
    <n v="31.97"/>
    <s v="Customer C7118"/>
    <x v="0"/>
    <x v="3"/>
    <x v="0"/>
    <n v="191.82"/>
    <x v="10"/>
    <n v="2023"/>
    <s v="Low Sales"/>
  </r>
  <r>
    <s v="C7038"/>
    <x v="6"/>
    <d v="2023-06-03T00:00:00"/>
    <n v="4"/>
    <n v="210.3"/>
    <s v="Customer C7038"/>
    <x v="1"/>
    <x v="3"/>
    <x v="0"/>
    <n v="841.2"/>
    <x v="1"/>
    <n v="2023"/>
    <s v="Low Sales"/>
  </r>
  <r>
    <s v="C7167"/>
    <x v="3"/>
    <d v="2023-08-15T00:00:00"/>
    <n v="6"/>
    <n v="338.59"/>
    <s v="Customer C7167"/>
    <x v="2"/>
    <x v="4"/>
    <x v="1"/>
    <n v="2031.54"/>
    <x v="4"/>
    <n v="2023"/>
    <s v="High Sales"/>
  </r>
  <r>
    <s v="C9098"/>
    <x v="3"/>
    <d v="2025-05-20T00:00:00"/>
    <n v="7"/>
    <n v="666.05"/>
    <s v="Customer C9098"/>
    <x v="2"/>
    <x v="0"/>
    <x v="1"/>
    <n v="4662.3499999999995"/>
    <x v="10"/>
    <n v="2025"/>
    <s v="High Sales"/>
  </r>
  <r>
    <s v="C5311"/>
    <x v="4"/>
    <d v="2024-07-13T00:00:00"/>
    <n v="4"/>
    <n v="126.37"/>
    <s v="Customer C5311"/>
    <x v="0"/>
    <x v="3"/>
    <x v="2"/>
    <n v="505.48"/>
    <x v="11"/>
    <n v="2024"/>
    <s v="Low Sales"/>
  </r>
  <r>
    <s v="C8605"/>
    <x v="5"/>
    <d v="2024-02-16T00:00:00"/>
    <n v="3"/>
    <n v="674.32"/>
    <s v="Customer C8605"/>
    <x v="1"/>
    <x v="0"/>
    <x v="4"/>
    <n v="2022.96"/>
    <x v="5"/>
    <n v="2024"/>
    <s v="High Sales"/>
  </r>
  <r>
    <s v="C5007"/>
    <x v="5"/>
    <d v="2023-02-04T00:00:00"/>
    <n v="8"/>
    <n v="46.56"/>
    <s v="Customer C5007"/>
    <x v="0"/>
    <x v="3"/>
    <x v="4"/>
    <n v="372.48"/>
    <x v="5"/>
    <n v="2023"/>
    <s v="Low Sales"/>
  </r>
  <r>
    <s v="C2161"/>
    <x v="1"/>
    <d v="2024-08-04T00:00:00"/>
    <n v="7"/>
    <n v="287.95"/>
    <s v="Customer C2161"/>
    <x v="2"/>
    <x v="2"/>
    <x v="4"/>
    <n v="2015.65"/>
    <x v="4"/>
    <n v="2024"/>
    <s v="High Sales"/>
  </r>
  <r>
    <s v="C7444"/>
    <x v="1"/>
    <d v="2024-12-22T00:00:00"/>
    <n v="2"/>
    <n v="285.51"/>
    <s v="Customer C7444"/>
    <x v="2"/>
    <x v="4"/>
    <x v="2"/>
    <n v="571.02"/>
    <x v="8"/>
    <n v="2024"/>
    <s v="Low Sales"/>
  </r>
  <r>
    <s v="C6953"/>
    <x v="6"/>
    <d v="2023-03-01T00:00:00"/>
    <n v="3"/>
    <n v="30.16"/>
    <s v="Customer C6953"/>
    <x v="0"/>
    <x v="3"/>
    <x v="0"/>
    <n v="90.48"/>
    <x v="0"/>
    <n v="2023"/>
    <s v="Low Sales"/>
  </r>
  <r>
    <s v="C1683"/>
    <x v="0"/>
    <d v="2023-10-22T00:00:00"/>
    <n v="1"/>
    <n v="626.98"/>
    <s v="Customer C1683"/>
    <x v="0"/>
    <x v="2"/>
    <x v="1"/>
    <n v="626.98"/>
    <x v="9"/>
    <n v="2023"/>
    <s v="Low Sales"/>
  </r>
  <r>
    <s v="C7925"/>
    <x v="4"/>
    <d v="2024-11-24T00:00:00"/>
    <n v="1"/>
    <n v="89.17"/>
    <s v="Customer C7925"/>
    <x v="2"/>
    <x v="4"/>
    <x v="2"/>
    <n v="89.17"/>
    <x v="7"/>
    <n v="2024"/>
    <s v="Low Sales"/>
  </r>
  <r>
    <s v="C7628"/>
    <x v="3"/>
    <d v="2025-04-11T00:00:00"/>
    <n v="7"/>
    <n v="791.91"/>
    <s v="Customer C7628"/>
    <x v="1"/>
    <x v="3"/>
    <x v="3"/>
    <n v="5543.37"/>
    <x v="3"/>
    <n v="2025"/>
    <s v="High Sales"/>
  </r>
  <r>
    <s v="C7382"/>
    <x v="1"/>
    <d v="2023-02-25T00:00:00"/>
    <n v="4"/>
    <n v="612.47"/>
    <s v="Customer C7382"/>
    <x v="2"/>
    <x v="3"/>
    <x v="0"/>
    <n v="2449.88"/>
    <x v="5"/>
    <n v="2023"/>
    <s v="High Sales"/>
  </r>
  <r>
    <s v="C4501"/>
    <x v="3"/>
    <d v="2023-12-01T00:00:00"/>
    <n v="3"/>
    <n v="278.73"/>
    <s v="Customer C4501"/>
    <x v="1"/>
    <x v="2"/>
    <x v="4"/>
    <n v="836.19"/>
    <x v="8"/>
    <n v="2023"/>
    <s v="Low Sales"/>
  </r>
  <r>
    <s v="C1657"/>
    <x v="3"/>
    <d v="2023-10-15T00:00:00"/>
    <n v="8"/>
    <n v="383.65"/>
    <s v="Customer C1657"/>
    <x v="1"/>
    <x v="2"/>
    <x v="1"/>
    <n v="3069.2"/>
    <x v="9"/>
    <n v="2023"/>
    <s v="High Sales"/>
  </r>
  <r>
    <s v="C4226"/>
    <x v="4"/>
    <d v="2023-12-25T00:00:00"/>
    <n v="4"/>
    <n v="472.35"/>
    <s v="Customer C4226"/>
    <x v="1"/>
    <x v="1"/>
    <x v="1"/>
    <n v="1889.4"/>
    <x v="8"/>
    <n v="2023"/>
    <s v="Low Sales"/>
  </r>
  <r>
    <s v="C5999"/>
    <x v="4"/>
    <d v="2024-04-19T00:00:00"/>
    <n v="1"/>
    <n v="438.65"/>
    <s v="Customer C5999"/>
    <x v="2"/>
    <x v="2"/>
    <x v="2"/>
    <n v="438.65"/>
    <x v="3"/>
    <n v="2024"/>
    <s v="Low Sales"/>
  </r>
  <r>
    <s v="C1157"/>
    <x v="2"/>
    <d v="2025-05-22T00:00:00"/>
    <n v="5"/>
    <n v="695.64"/>
    <s v="Customer C1157"/>
    <x v="1"/>
    <x v="4"/>
    <x v="4"/>
    <n v="3478.2"/>
    <x v="10"/>
    <n v="2025"/>
    <s v="High Sales"/>
  </r>
  <r>
    <s v="C3472"/>
    <x v="1"/>
    <d v="2025-05-10T00:00:00"/>
    <n v="8"/>
    <n v="642.59"/>
    <s v="Customer C3472"/>
    <x v="2"/>
    <x v="3"/>
    <x v="4"/>
    <n v="5140.72"/>
    <x v="10"/>
    <n v="2025"/>
    <s v="High Sales"/>
  </r>
  <r>
    <s v="C3201"/>
    <x v="6"/>
    <d v="2025-03-25T00:00:00"/>
    <n v="2"/>
    <n v="560.77"/>
    <s v="Customer C3201"/>
    <x v="1"/>
    <x v="3"/>
    <x v="4"/>
    <n v="1121.54"/>
    <x v="0"/>
    <n v="2025"/>
    <s v="Low Sales"/>
  </r>
  <r>
    <s v="C4475"/>
    <x v="6"/>
    <d v="2025-06-10T00:00:00"/>
    <n v="6"/>
    <n v="7.55"/>
    <s v="Customer C4475"/>
    <x v="1"/>
    <x v="2"/>
    <x v="4"/>
    <n v="45.3"/>
    <x v="1"/>
    <n v="2025"/>
    <s v="Low Sales"/>
  </r>
  <r>
    <s v="C3988"/>
    <x v="1"/>
    <d v="2024-11-14T00:00:00"/>
    <n v="6"/>
    <n v="256.02999999999997"/>
    <s v="Customer C3988"/>
    <x v="1"/>
    <x v="3"/>
    <x v="0"/>
    <n v="1536.18"/>
    <x v="7"/>
    <n v="2024"/>
    <s v="Low Sales"/>
  </r>
  <r>
    <s v="C9194"/>
    <x v="5"/>
    <d v="2023-11-16T00:00:00"/>
    <n v="8"/>
    <n v="323.16000000000003"/>
    <s v="Customer C9194"/>
    <x v="2"/>
    <x v="3"/>
    <x v="0"/>
    <n v="2585.2800000000002"/>
    <x v="7"/>
    <n v="2023"/>
    <s v="High Sales"/>
  </r>
  <r>
    <s v="C7496"/>
    <x v="6"/>
    <d v="2025-04-10T00:00:00"/>
    <n v="2"/>
    <n v="665.61"/>
    <s v="Customer C7496"/>
    <x v="0"/>
    <x v="2"/>
    <x v="4"/>
    <n v="1331.22"/>
    <x v="3"/>
    <n v="2025"/>
    <s v="Low Sales"/>
  </r>
  <r>
    <s v="C1230"/>
    <x v="3"/>
    <d v="2024-06-23T00:00:00"/>
    <n v="8"/>
    <n v="284.95"/>
    <s v="Customer C1230"/>
    <x v="2"/>
    <x v="2"/>
    <x v="3"/>
    <n v="2279.6"/>
    <x v="1"/>
    <n v="2024"/>
    <s v="High Sales"/>
  </r>
  <r>
    <s v="C3160"/>
    <x v="1"/>
    <d v="2024-08-27T00:00:00"/>
    <n v="7"/>
    <n v="695.02"/>
    <s v="Customer C3160"/>
    <x v="1"/>
    <x v="4"/>
    <x v="1"/>
    <n v="4865.1399999999994"/>
    <x v="4"/>
    <n v="2024"/>
    <s v="High Sales"/>
  </r>
  <r>
    <s v="C2626"/>
    <x v="4"/>
    <d v="2024-03-18T00:00:00"/>
    <n v="4"/>
    <n v="168.32"/>
    <s v="Customer C2626"/>
    <x v="0"/>
    <x v="3"/>
    <x v="4"/>
    <n v="673.28"/>
    <x v="0"/>
    <n v="2024"/>
    <s v="Low Sales"/>
  </r>
  <r>
    <s v="C1080"/>
    <x v="0"/>
    <d v="2024-05-12T00:00:00"/>
    <n v="5"/>
    <n v="226.71"/>
    <s v="Customer C1080"/>
    <x v="0"/>
    <x v="3"/>
    <x v="2"/>
    <n v="1133.55"/>
    <x v="10"/>
    <n v="2024"/>
    <s v="Low Sales"/>
  </r>
  <r>
    <s v="C9913"/>
    <x v="3"/>
    <d v="2024-08-29T00:00:00"/>
    <n v="7"/>
    <n v="606.16999999999996"/>
    <s v="Customer C9913"/>
    <x v="1"/>
    <x v="4"/>
    <x v="3"/>
    <n v="4243.1899999999996"/>
    <x v="4"/>
    <n v="2024"/>
    <s v="High Sales"/>
  </r>
  <r>
    <s v="C9608"/>
    <x v="3"/>
    <d v="2025-01-30T00:00:00"/>
    <n v="5"/>
    <n v="432.85"/>
    <s v="Customer C9608"/>
    <x v="2"/>
    <x v="3"/>
    <x v="4"/>
    <n v="2164.25"/>
    <x v="6"/>
    <n v="2025"/>
    <s v="High Sales"/>
  </r>
  <r>
    <s v="C5413"/>
    <x v="2"/>
    <d v="2023-12-15T00:00:00"/>
    <n v="3"/>
    <n v="204.93"/>
    <s v="Customer C5413"/>
    <x v="1"/>
    <x v="1"/>
    <x v="1"/>
    <n v="614.79"/>
    <x v="8"/>
    <n v="2023"/>
    <s v="Low Sales"/>
  </r>
  <r>
    <s v="C6520"/>
    <x v="5"/>
    <d v="2023-11-04T00:00:00"/>
    <n v="6"/>
    <n v="548.88"/>
    <s v="Customer C6520"/>
    <x v="0"/>
    <x v="0"/>
    <x v="0"/>
    <n v="3293.28"/>
    <x v="7"/>
    <n v="2023"/>
    <s v="High Sales"/>
  </r>
  <r>
    <s v="C9150"/>
    <x v="5"/>
    <d v="2025-03-19T00:00:00"/>
    <n v="8"/>
    <n v="563.03"/>
    <s v="Customer C9150"/>
    <x v="1"/>
    <x v="3"/>
    <x v="0"/>
    <n v="4504.24"/>
    <x v="0"/>
    <n v="2025"/>
    <s v="High Sales"/>
  </r>
  <r>
    <s v="C9593"/>
    <x v="5"/>
    <d v="2025-05-14T00:00:00"/>
    <n v="8"/>
    <n v="620.6"/>
    <s v="Customer C9593"/>
    <x v="1"/>
    <x v="2"/>
    <x v="0"/>
    <n v="4964.8"/>
    <x v="10"/>
    <n v="2025"/>
    <s v="High Sales"/>
  </r>
  <r>
    <s v="C4651"/>
    <x v="0"/>
    <d v="2024-02-13T00:00:00"/>
    <n v="1"/>
    <n v="430.58"/>
    <s v="Customer C4651"/>
    <x v="1"/>
    <x v="0"/>
    <x v="4"/>
    <n v="430.58"/>
    <x v="5"/>
    <n v="2024"/>
    <s v="Low Sales"/>
  </r>
  <r>
    <s v="C9254"/>
    <x v="3"/>
    <d v="2023-12-31T00:00:00"/>
    <n v="8"/>
    <n v="506.43"/>
    <s v="Customer C9254"/>
    <x v="2"/>
    <x v="3"/>
    <x v="1"/>
    <n v="4051.44"/>
    <x v="8"/>
    <n v="2023"/>
    <s v="High Sales"/>
  </r>
  <r>
    <s v="C9453"/>
    <x v="5"/>
    <d v="2023-05-02T00:00:00"/>
    <n v="7"/>
    <n v="555.39"/>
    <s v="Customer C9453"/>
    <x v="0"/>
    <x v="4"/>
    <x v="0"/>
    <n v="3887.73"/>
    <x v="10"/>
    <n v="2023"/>
    <s v="High Sales"/>
  </r>
  <r>
    <s v="C7152"/>
    <x v="4"/>
    <d v="2023-11-21T00:00:00"/>
    <n v="1"/>
    <n v="139.83000000000001"/>
    <s v="Customer C7152"/>
    <x v="2"/>
    <x v="2"/>
    <x v="4"/>
    <n v="139.83000000000001"/>
    <x v="7"/>
    <n v="2023"/>
    <s v="Low Sales"/>
  </r>
  <r>
    <s v="C3826"/>
    <x v="1"/>
    <d v="2024-10-23T00:00:00"/>
    <n v="5"/>
    <n v="85.4"/>
    <s v="Customer C3826"/>
    <x v="0"/>
    <x v="1"/>
    <x v="2"/>
    <n v="427"/>
    <x v="9"/>
    <n v="2024"/>
    <s v="Low Sales"/>
  </r>
  <r>
    <s v="C5324"/>
    <x v="0"/>
    <d v="2024-03-12T00:00:00"/>
    <n v="8"/>
    <n v="634.55999999999995"/>
    <s v="Customer C5324"/>
    <x v="0"/>
    <x v="3"/>
    <x v="2"/>
    <n v="5076.4799999999996"/>
    <x v="0"/>
    <n v="2024"/>
    <s v="High Sales"/>
  </r>
  <r>
    <s v="C4737"/>
    <x v="4"/>
    <d v="2024-12-18T00:00:00"/>
    <n v="8"/>
    <n v="768.09"/>
    <s v="Customer C4737"/>
    <x v="1"/>
    <x v="1"/>
    <x v="0"/>
    <n v="6144.72"/>
    <x v="8"/>
    <n v="2024"/>
    <s v="High Sales"/>
  </r>
  <r>
    <s v="C1146"/>
    <x v="6"/>
    <d v="2023-03-18T00:00:00"/>
    <n v="4"/>
    <n v="592.34"/>
    <s v="Customer C1146"/>
    <x v="1"/>
    <x v="4"/>
    <x v="2"/>
    <n v="2369.36"/>
    <x v="0"/>
    <n v="2023"/>
    <s v="High Sales"/>
  </r>
  <r>
    <s v="C8871"/>
    <x v="2"/>
    <d v="2024-09-15T00:00:00"/>
    <n v="3"/>
    <n v="256.5"/>
    <s v="Customer C8871"/>
    <x v="0"/>
    <x v="3"/>
    <x v="0"/>
    <n v="769.5"/>
    <x v="2"/>
    <n v="2024"/>
    <s v="Low Sales"/>
  </r>
  <r>
    <s v="C8036"/>
    <x v="3"/>
    <d v="2024-09-22T00:00:00"/>
    <n v="1"/>
    <n v="592.24"/>
    <s v="Customer C8036"/>
    <x v="0"/>
    <x v="0"/>
    <x v="1"/>
    <n v="592.24"/>
    <x v="2"/>
    <n v="2024"/>
    <s v="Low Sales"/>
  </r>
  <r>
    <s v="C3684"/>
    <x v="3"/>
    <d v="2023-03-26T00:00:00"/>
    <n v="7"/>
    <n v="69.12"/>
    <s v="Customer C3684"/>
    <x v="2"/>
    <x v="1"/>
    <x v="1"/>
    <n v="483.84"/>
    <x v="0"/>
    <n v="2023"/>
    <s v="Low Sales"/>
  </r>
  <r>
    <s v="C1161"/>
    <x v="4"/>
    <d v="2023-03-26T00:00:00"/>
    <n v="3"/>
    <n v="128.52000000000001"/>
    <s v="Customer C1161"/>
    <x v="1"/>
    <x v="2"/>
    <x v="1"/>
    <n v="385.56000000000012"/>
    <x v="0"/>
    <n v="2023"/>
    <s v="Low Sales"/>
  </r>
  <r>
    <s v="C5846"/>
    <x v="4"/>
    <d v="2023-06-20T00:00:00"/>
    <n v="6"/>
    <n v="70.13"/>
    <s v="Customer C5846"/>
    <x v="0"/>
    <x v="3"/>
    <x v="2"/>
    <n v="420.78"/>
    <x v="1"/>
    <n v="2023"/>
    <s v="Low Sales"/>
  </r>
  <r>
    <s v="C3460"/>
    <x v="0"/>
    <d v="2025-06-30T00:00:00"/>
    <n v="7"/>
    <n v="548.54"/>
    <s v="Customer C3460"/>
    <x v="1"/>
    <x v="4"/>
    <x v="2"/>
    <n v="3839.78"/>
    <x v="1"/>
    <n v="2025"/>
    <s v="High Sales"/>
  </r>
  <r>
    <s v="C1280"/>
    <x v="1"/>
    <d v="2025-02-09T00:00:00"/>
    <n v="6"/>
    <n v="279.06"/>
    <s v="Customer C1280"/>
    <x v="2"/>
    <x v="3"/>
    <x v="1"/>
    <n v="1674.36"/>
    <x v="5"/>
    <n v="2025"/>
    <s v="Low Sales"/>
  </r>
  <r>
    <s v="C7931"/>
    <x v="1"/>
    <d v="2023-03-29T00:00:00"/>
    <n v="3"/>
    <n v="770.49"/>
    <s v="Customer C7931"/>
    <x v="0"/>
    <x v="4"/>
    <x v="2"/>
    <n v="2311.4699999999998"/>
    <x v="0"/>
    <n v="2023"/>
    <s v="High Sales"/>
  </r>
  <r>
    <s v="C5980"/>
    <x v="3"/>
    <d v="2024-08-17T00:00:00"/>
    <n v="4"/>
    <n v="174.39"/>
    <s v="Customer C5980"/>
    <x v="1"/>
    <x v="3"/>
    <x v="2"/>
    <n v="697.56"/>
    <x v="4"/>
    <n v="2024"/>
    <s v="Low Sales"/>
  </r>
  <r>
    <s v="C6022"/>
    <x v="5"/>
    <d v="2024-02-10T00:00:00"/>
    <n v="5"/>
    <n v="451.64"/>
    <s v="Customer C6022"/>
    <x v="2"/>
    <x v="4"/>
    <x v="4"/>
    <n v="2258.1999999999998"/>
    <x v="5"/>
    <n v="2024"/>
    <s v="High Sales"/>
  </r>
  <r>
    <s v="C3817"/>
    <x v="5"/>
    <d v="2024-01-09T00:00:00"/>
    <n v="2"/>
    <n v="488.07"/>
    <s v="Customer C3817"/>
    <x v="2"/>
    <x v="0"/>
    <x v="2"/>
    <n v="976.14"/>
    <x v="6"/>
    <n v="2024"/>
    <s v="Low Sales"/>
  </r>
  <r>
    <s v="C8639"/>
    <x v="2"/>
    <d v="2023-12-04T00:00:00"/>
    <n v="4"/>
    <n v="329.91"/>
    <s v="Customer C8639"/>
    <x v="0"/>
    <x v="4"/>
    <x v="2"/>
    <n v="1319.64"/>
    <x v="8"/>
    <n v="2023"/>
    <s v="Low Sales"/>
  </r>
  <r>
    <s v="C5623"/>
    <x v="2"/>
    <d v="2024-12-08T00:00:00"/>
    <n v="7"/>
    <n v="41.97"/>
    <s v="Customer C5623"/>
    <x v="0"/>
    <x v="1"/>
    <x v="3"/>
    <n v="293.79000000000002"/>
    <x v="8"/>
    <n v="2024"/>
    <s v="Low Sales"/>
  </r>
  <r>
    <s v="C5978"/>
    <x v="1"/>
    <d v="2023-07-20T00:00:00"/>
    <n v="7"/>
    <n v="284.86"/>
    <s v="Customer C5978"/>
    <x v="2"/>
    <x v="1"/>
    <x v="4"/>
    <n v="1994.02"/>
    <x v="11"/>
    <n v="2023"/>
    <s v="Low Sales"/>
  </r>
  <r>
    <s v="C2279"/>
    <x v="0"/>
    <d v="2024-01-24T00:00:00"/>
    <n v="2"/>
    <n v="433.59"/>
    <s v="Customer C2279"/>
    <x v="1"/>
    <x v="1"/>
    <x v="3"/>
    <n v="867.18"/>
    <x v="6"/>
    <n v="2024"/>
    <s v="Low Sales"/>
  </r>
  <r>
    <s v="C4160"/>
    <x v="2"/>
    <d v="2025-02-28T00:00:00"/>
    <n v="1"/>
    <n v="79.900000000000006"/>
    <s v="Customer C4160"/>
    <x v="0"/>
    <x v="3"/>
    <x v="0"/>
    <n v="79.900000000000006"/>
    <x v="5"/>
    <n v="2025"/>
    <s v="Low Sales"/>
  </r>
  <r>
    <s v="C1045"/>
    <x v="3"/>
    <d v="2024-08-12T00:00:00"/>
    <n v="8"/>
    <n v="138.11000000000001"/>
    <s v="Customer C1045"/>
    <x v="2"/>
    <x v="4"/>
    <x v="2"/>
    <n v="1104.8800000000001"/>
    <x v="4"/>
    <n v="2024"/>
    <s v="Low Sales"/>
  </r>
  <r>
    <s v="C7551"/>
    <x v="6"/>
    <d v="2025-04-15T00:00:00"/>
    <n v="8"/>
    <n v="65.260000000000005"/>
    <s v="Customer C7551"/>
    <x v="1"/>
    <x v="4"/>
    <x v="3"/>
    <n v="522.08000000000004"/>
    <x v="3"/>
    <n v="2025"/>
    <s v="Low Sales"/>
  </r>
  <r>
    <s v="C8730"/>
    <x v="3"/>
    <d v="2024-07-24T00:00:00"/>
    <n v="8"/>
    <n v="263.56"/>
    <s v="Customer C8730"/>
    <x v="0"/>
    <x v="3"/>
    <x v="4"/>
    <n v="2108.48"/>
    <x v="11"/>
    <n v="2024"/>
    <s v="High Sales"/>
  </r>
  <r>
    <s v="C5902"/>
    <x v="1"/>
    <d v="2024-02-06T00:00:00"/>
    <n v="8"/>
    <n v="621.67999999999995"/>
    <s v="Customer C5902"/>
    <x v="2"/>
    <x v="2"/>
    <x v="3"/>
    <n v="4973.4399999999996"/>
    <x v="5"/>
    <n v="2024"/>
    <s v="High Sales"/>
  </r>
  <r>
    <s v="C5169"/>
    <x v="2"/>
    <d v="2023-04-25T00:00:00"/>
    <n v="1"/>
    <n v="147.34"/>
    <s v="Customer C5169"/>
    <x v="1"/>
    <x v="3"/>
    <x v="0"/>
    <n v="147.34"/>
    <x v="3"/>
    <n v="2023"/>
    <s v="Low Sales"/>
  </r>
  <r>
    <s v="C5027"/>
    <x v="2"/>
    <d v="2024-03-31T00:00:00"/>
    <n v="6"/>
    <n v="192.17"/>
    <s v="Customer C5027"/>
    <x v="2"/>
    <x v="2"/>
    <x v="3"/>
    <n v="1153.02"/>
    <x v="0"/>
    <n v="2024"/>
    <s v="Low Sales"/>
  </r>
  <r>
    <s v="C8912"/>
    <x v="5"/>
    <d v="2024-03-09T00:00:00"/>
    <n v="7"/>
    <n v="560.05999999999995"/>
    <s v="Customer C8912"/>
    <x v="0"/>
    <x v="4"/>
    <x v="0"/>
    <n v="3920.42"/>
    <x v="0"/>
    <n v="2024"/>
    <s v="High Sales"/>
  </r>
  <r>
    <s v="C3897"/>
    <x v="1"/>
    <d v="2023-05-25T00:00:00"/>
    <n v="8"/>
    <n v="131.26"/>
    <s v="Customer C3897"/>
    <x v="1"/>
    <x v="1"/>
    <x v="1"/>
    <n v="1050.08"/>
    <x v="10"/>
    <n v="2023"/>
    <s v="Low Sales"/>
  </r>
  <r>
    <s v="C9345"/>
    <x v="6"/>
    <d v="2024-01-29T00:00:00"/>
    <n v="4"/>
    <n v="57.77"/>
    <s v="Customer C9345"/>
    <x v="2"/>
    <x v="2"/>
    <x v="2"/>
    <n v="231.08"/>
    <x v="6"/>
    <n v="2024"/>
    <s v="Low Sales"/>
  </r>
  <r>
    <s v="C2932"/>
    <x v="1"/>
    <d v="2023-07-23T00:00:00"/>
    <n v="4"/>
    <n v="149.13999999999999"/>
    <s v="Customer C2932"/>
    <x v="0"/>
    <x v="1"/>
    <x v="2"/>
    <n v="596.55999999999995"/>
    <x v="11"/>
    <n v="2023"/>
    <s v="Low Sales"/>
  </r>
  <r>
    <s v="C1555"/>
    <x v="3"/>
    <d v="2024-09-14T00:00:00"/>
    <n v="6"/>
    <n v="580.01"/>
    <s v="Customer C1555"/>
    <x v="0"/>
    <x v="3"/>
    <x v="0"/>
    <n v="3480.06"/>
    <x v="2"/>
    <n v="2024"/>
    <s v="High Sales"/>
  </r>
  <r>
    <s v="C2483"/>
    <x v="5"/>
    <d v="2024-07-03T00:00:00"/>
    <n v="3"/>
    <n v="495.51"/>
    <s v="Customer C2483"/>
    <x v="1"/>
    <x v="4"/>
    <x v="4"/>
    <n v="1486.53"/>
    <x v="11"/>
    <n v="2024"/>
    <s v="Low Sales"/>
  </r>
  <r>
    <s v="C6318"/>
    <x v="0"/>
    <d v="2024-12-06T00:00:00"/>
    <n v="6"/>
    <n v="360.05"/>
    <s v="Customer C6318"/>
    <x v="2"/>
    <x v="3"/>
    <x v="2"/>
    <n v="2160.3000000000002"/>
    <x v="8"/>
    <n v="2024"/>
    <s v="High Sales"/>
  </r>
  <r>
    <s v="C7603"/>
    <x v="1"/>
    <d v="2024-12-06T00:00:00"/>
    <n v="5"/>
    <n v="276.75"/>
    <s v="Customer C7603"/>
    <x v="0"/>
    <x v="1"/>
    <x v="3"/>
    <n v="1383.75"/>
    <x v="8"/>
    <n v="2024"/>
    <s v="Low Sales"/>
  </r>
  <r>
    <s v="C4865"/>
    <x v="0"/>
    <d v="2024-02-22T00:00:00"/>
    <n v="7"/>
    <n v="662.26"/>
    <s v="Customer C4865"/>
    <x v="2"/>
    <x v="2"/>
    <x v="3"/>
    <n v="4635.82"/>
    <x v="5"/>
    <n v="2024"/>
    <s v="High Sales"/>
  </r>
  <r>
    <s v="C6695"/>
    <x v="0"/>
    <d v="2023-10-31T00:00:00"/>
    <n v="1"/>
    <n v="72.25"/>
    <s v="Customer C6695"/>
    <x v="0"/>
    <x v="2"/>
    <x v="3"/>
    <n v="72.25"/>
    <x v="9"/>
    <n v="2023"/>
    <s v="Low Sales"/>
  </r>
  <r>
    <s v="C8360"/>
    <x v="5"/>
    <d v="2023-06-25T00:00:00"/>
    <n v="4"/>
    <n v="495.28"/>
    <s v="Customer C8360"/>
    <x v="1"/>
    <x v="0"/>
    <x v="0"/>
    <n v="1981.12"/>
    <x v="1"/>
    <n v="2023"/>
    <s v="Low Sales"/>
  </r>
  <r>
    <s v="C7459"/>
    <x v="6"/>
    <d v="2024-08-17T00:00:00"/>
    <n v="2"/>
    <n v="322.62"/>
    <s v="Customer C7459"/>
    <x v="0"/>
    <x v="0"/>
    <x v="0"/>
    <n v="645.24"/>
    <x v="4"/>
    <n v="2024"/>
    <s v="Low Sales"/>
  </r>
  <r>
    <s v="C8794"/>
    <x v="4"/>
    <d v="2025-04-26T00:00:00"/>
    <n v="5"/>
    <n v="184.75"/>
    <s v="Customer C8794"/>
    <x v="0"/>
    <x v="3"/>
    <x v="1"/>
    <n v="923.75"/>
    <x v="3"/>
    <n v="2025"/>
    <s v="Low Sales"/>
  </r>
  <r>
    <s v="C1271"/>
    <x v="1"/>
    <d v="2024-05-18T00:00:00"/>
    <n v="2"/>
    <n v="638.03"/>
    <s v="Customer C1271"/>
    <x v="2"/>
    <x v="0"/>
    <x v="0"/>
    <n v="1276.06"/>
    <x v="10"/>
    <n v="2024"/>
    <s v="Low Sales"/>
  </r>
  <r>
    <s v="C7576"/>
    <x v="6"/>
    <d v="2023-04-03T00:00:00"/>
    <n v="3"/>
    <n v="100.78"/>
    <s v="Customer C7576"/>
    <x v="2"/>
    <x v="4"/>
    <x v="4"/>
    <n v="302.33999999999997"/>
    <x v="3"/>
    <n v="2023"/>
    <s v="Low Sales"/>
  </r>
  <r>
    <s v="C3743"/>
    <x v="5"/>
    <d v="2025-02-03T00:00:00"/>
    <n v="8"/>
    <n v="398.91"/>
    <s v="Customer C3743"/>
    <x v="0"/>
    <x v="0"/>
    <x v="0"/>
    <n v="3191.28"/>
    <x v="5"/>
    <n v="2025"/>
    <s v="High Sales"/>
  </r>
  <r>
    <s v="C6727"/>
    <x v="1"/>
    <d v="2023-04-24T00:00:00"/>
    <n v="6"/>
    <n v="525.79"/>
    <s v="Customer C6727"/>
    <x v="0"/>
    <x v="0"/>
    <x v="0"/>
    <n v="3154.74"/>
    <x v="3"/>
    <n v="2023"/>
    <s v="High Sales"/>
  </r>
  <r>
    <s v="C7602"/>
    <x v="6"/>
    <d v="2023-07-13T00:00:00"/>
    <n v="5"/>
    <n v="680.25"/>
    <s v="Customer C7602"/>
    <x v="2"/>
    <x v="4"/>
    <x v="4"/>
    <n v="3401.25"/>
    <x v="11"/>
    <n v="2023"/>
    <s v="High Sales"/>
  </r>
  <r>
    <s v="C8777"/>
    <x v="1"/>
    <d v="2024-07-14T00:00:00"/>
    <n v="5"/>
    <n v="184.75"/>
    <s v="Customer C8777"/>
    <x v="0"/>
    <x v="2"/>
    <x v="4"/>
    <n v="923.75"/>
    <x v="11"/>
    <n v="2024"/>
    <s v="Low Sales"/>
  </r>
  <r>
    <s v="C3787"/>
    <x v="6"/>
    <d v="2025-04-01T00:00:00"/>
    <n v="7"/>
    <n v="751.55"/>
    <s v="Customer C3787"/>
    <x v="0"/>
    <x v="4"/>
    <x v="4"/>
    <n v="5260.8499999999995"/>
    <x v="3"/>
    <n v="2025"/>
    <s v="High Sales"/>
  </r>
  <r>
    <s v="C1292"/>
    <x v="0"/>
    <d v="2024-07-22T00:00:00"/>
    <n v="4"/>
    <n v="692.94"/>
    <s v="Customer C1292"/>
    <x v="2"/>
    <x v="2"/>
    <x v="1"/>
    <n v="2771.76"/>
    <x v="11"/>
    <n v="2024"/>
    <s v="High Sales"/>
  </r>
  <r>
    <s v="C9554"/>
    <x v="0"/>
    <d v="2024-11-15T00:00:00"/>
    <n v="1"/>
    <n v="441.82"/>
    <s v="Customer C9554"/>
    <x v="0"/>
    <x v="3"/>
    <x v="2"/>
    <n v="441.82"/>
    <x v="7"/>
    <n v="2024"/>
    <s v="Low Sales"/>
  </r>
  <r>
    <s v="C2013"/>
    <x v="0"/>
    <d v="2023-05-05T00:00:00"/>
    <n v="6"/>
    <n v="541.99"/>
    <s v="Customer C2013"/>
    <x v="1"/>
    <x v="1"/>
    <x v="2"/>
    <n v="3251.94"/>
    <x v="10"/>
    <n v="2023"/>
    <s v="High Sales"/>
  </r>
  <r>
    <s v="C8970"/>
    <x v="3"/>
    <d v="2024-02-14T00:00:00"/>
    <n v="2"/>
    <n v="254.53"/>
    <s v="Customer C8970"/>
    <x v="1"/>
    <x v="3"/>
    <x v="0"/>
    <n v="509.06"/>
    <x v="5"/>
    <n v="2024"/>
    <s v="Low Sales"/>
  </r>
  <r>
    <s v="C9822"/>
    <x v="4"/>
    <d v="2023-08-12T00:00:00"/>
    <n v="5"/>
    <n v="497.12"/>
    <s v="Customer C9822"/>
    <x v="1"/>
    <x v="1"/>
    <x v="4"/>
    <n v="2485.6"/>
    <x v="4"/>
    <n v="2023"/>
    <s v="High Sales"/>
  </r>
  <r>
    <s v="C3141"/>
    <x v="0"/>
    <d v="2024-03-15T00:00:00"/>
    <n v="1"/>
    <n v="343.27"/>
    <s v="Customer C3141"/>
    <x v="0"/>
    <x v="3"/>
    <x v="1"/>
    <n v="343.27"/>
    <x v="0"/>
    <n v="2024"/>
    <s v="Low Sales"/>
  </r>
  <r>
    <s v="C5168"/>
    <x v="5"/>
    <d v="2025-02-18T00:00:00"/>
    <n v="6"/>
    <n v="347.73"/>
    <s v="Customer C5168"/>
    <x v="2"/>
    <x v="4"/>
    <x v="0"/>
    <n v="2086.38"/>
    <x v="5"/>
    <n v="2025"/>
    <s v="High Sales"/>
  </r>
  <r>
    <s v="C4598"/>
    <x v="0"/>
    <d v="2025-04-12T00:00:00"/>
    <n v="3"/>
    <n v="610.49"/>
    <s v="Customer C4598"/>
    <x v="0"/>
    <x v="1"/>
    <x v="2"/>
    <n v="1831.47"/>
    <x v="3"/>
    <n v="2025"/>
    <s v="Low Sales"/>
  </r>
  <r>
    <s v="C3331"/>
    <x v="5"/>
    <d v="2023-03-18T00:00:00"/>
    <n v="1"/>
    <n v="742.11"/>
    <s v="Customer C3331"/>
    <x v="0"/>
    <x v="1"/>
    <x v="2"/>
    <n v="742.11"/>
    <x v="0"/>
    <n v="2023"/>
    <s v="Low Sales"/>
  </r>
  <r>
    <s v="C8030"/>
    <x v="6"/>
    <d v="2025-03-26T00:00:00"/>
    <n v="1"/>
    <n v="22.9"/>
    <s v="Customer C8030"/>
    <x v="2"/>
    <x v="3"/>
    <x v="3"/>
    <n v="22.9"/>
    <x v="0"/>
    <n v="2025"/>
    <s v="Low Sales"/>
  </r>
  <r>
    <s v="C8217"/>
    <x v="3"/>
    <d v="2023-03-31T00:00:00"/>
    <n v="3"/>
    <n v="308.95"/>
    <s v="Customer C8217"/>
    <x v="0"/>
    <x v="2"/>
    <x v="0"/>
    <n v="926.84999999999991"/>
    <x v="0"/>
    <n v="2023"/>
    <s v="Low Sales"/>
  </r>
  <r>
    <s v="C3669"/>
    <x v="3"/>
    <d v="2023-11-20T00:00:00"/>
    <n v="7"/>
    <n v="210.35"/>
    <s v="Customer C3669"/>
    <x v="1"/>
    <x v="0"/>
    <x v="1"/>
    <n v="1472.45"/>
    <x v="7"/>
    <n v="2023"/>
    <s v="Low Sales"/>
  </r>
  <r>
    <s v="C9097"/>
    <x v="1"/>
    <d v="2025-05-11T00:00:00"/>
    <n v="3"/>
    <n v="478.64"/>
    <s v="Customer C9097"/>
    <x v="2"/>
    <x v="2"/>
    <x v="1"/>
    <n v="1435.92"/>
    <x v="10"/>
    <n v="2025"/>
    <s v="Low Sales"/>
  </r>
  <r>
    <s v="C1957"/>
    <x v="2"/>
    <d v="2023-11-13T00:00:00"/>
    <n v="6"/>
    <n v="660.84"/>
    <s v="Customer C1957"/>
    <x v="0"/>
    <x v="1"/>
    <x v="1"/>
    <n v="3965.04"/>
    <x v="7"/>
    <n v="2023"/>
    <s v="High Sales"/>
  </r>
  <r>
    <s v="C1228"/>
    <x v="1"/>
    <d v="2024-11-11T00:00:00"/>
    <n v="6"/>
    <n v="146.72"/>
    <s v="Customer C1228"/>
    <x v="2"/>
    <x v="2"/>
    <x v="2"/>
    <n v="880.31999999999994"/>
    <x v="7"/>
    <n v="2024"/>
    <s v="Low Sales"/>
  </r>
  <r>
    <s v="C3455"/>
    <x v="5"/>
    <d v="2024-05-31T00:00:00"/>
    <n v="2"/>
    <n v="612.89"/>
    <s v="Customer C3455"/>
    <x v="1"/>
    <x v="3"/>
    <x v="0"/>
    <n v="1225.78"/>
    <x v="10"/>
    <n v="2024"/>
    <s v="Low Sales"/>
  </r>
  <r>
    <s v="C8257"/>
    <x v="1"/>
    <d v="2024-07-18T00:00:00"/>
    <n v="2"/>
    <n v="96.41"/>
    <s v="Customer C8257"/>
    <x v="0"/>
    <x v="2"/>
    <x v="3"/>
    <n v="192.82"/>
    <x v="11"/>
    <n v="2024"/>
    <s v="Low Sales"/>
  </r>
  <r>
    <s v="C4260"/>
    <x v="5"/>
    <d v="2023-02-01T00:00:00"/>
    <n v="4"/>
    <n v="185.82"/>
    <s v="Customer C4260"/>
    <x v="1"/>
    <x v="4"/>
    <x v="1"/>
    <n v="743.28"/>
    <x v="5"/>
    <n v="2023"/>
    <s v="Low Sales"/>
  </r>
  <r>
    <s v="C1617"/>
    <x v="6"/>
    <d v="2023-07-03T00:00:00"/>
    <n v="4"/>
    <n v="386.84"/>
    <s v="Customer C1617"/>
    <x v="0"/>
    <x v="0"/>
    <x v="0"/>
    <n v="1547.36"/>
    <x v="11"/>
    <n v="2023"/>
    <s v="Low Sales"/>
  </r>
  <r>
    <s v="C8741"/>
    <x v="0"/>
    <d v="2024-09-30T00:00:00"/>
    <n v="6"/>
    <n v="216.1"/>
    <s v="Customer C8741"/>
    <x v="0"/>
    <x v="3"/>
    <x v="1"/>
    <n v="1296.5999999999999"/>
    <x v="2"/>
    <n v="2024"/>
    <s v="Low Sales"/>
  </r>
  <r>
    <s v="C6184"/>
    <x v="5"/>
    <d v="2023-09-13T00:00:00"/>
    <n v="8"/>
    <n v="159.15"/>
    <s v="Customer C6184"/>
    <x v="1"/>
    <x v="4"/>
    <x v="4"/>
    <n v="1273.2"/>
    <x v="2"/>
    <n v="2023"/>
    <s v="Low Sales"/>
  </r>
  <r>
    <s v="C3364"/>
    <x v="3"/>
    <d v="2023-07-01T00:00:00"/>
    <n v="2"/>
    <n v="581.6"/>
    <s v="Customer C3364"/>
    <x v="0"/>
    <x v="3"/>
    <x v="4"/>
    <n v="1163.2"/>
    <x v="11"/>
    <n v="2023"/>
    <s v="Low Sales"/>
  </r>
  <r>
    <s v="C9880"/>
    <x v="6"/>
    <d v="2023-04-23T00:00:00"/>
    <n v="8"/>
    <n v="521.59"/>
    <s v="Customer C9880"/>
    <x v="1"/>
    <x v="4"/>
    <x v="2"/>
    <n v="4172.72"/>
    <x v="3"/>
    <n v="2023"/>
    <s v="High Sales"/>
  </r>
  <r>
    <s v="C3269"/>
    <x v="6"/>
    <d v="2024-05-07T00:00:00"/>
    <n v="8"/>
    <n v="637.41999999999996"/>
    <s v="Customer C3269"/>
    <x v="2"/>
    <x v="4"/>
    <x v="4"/>
    <n v="5099.3599999999997"/>
    <x v="10"/>
    <n v="2024"/>
    <s v="High Sales"/>
  </r>
  <r>
    <s v="C4437"/>
    <x v="5"/>
    <d v="2023-09-30T00:00:00"/>
    <n v="7"/>
    <n v="786.45"/>
    <s v="Customer C4437"/>
    <x v="0"/>
    <x v="2"/>
    <x v="2"/>
    <n v="5505.1500000000005"/>
    <x v="2"/>
    <n v="2023"/>
    <s v="High Sales"/>
  </r>
  <r>
    <s v="C5119"/>
    <x v="2"/>
    <d v="2023-08-18T00:00:00"/>
    <n v="5"/>
    <n v="154.47999999999999"/>
    <s v="Customer C5119"/>
    <x v="2"/>
    <x v="2"/>
    <x v="4"/>
    <n v="772.4"/>
    <x v="4"/>
    <n v="2023"/>
    <s v="Low Sales"/>
  </r>
  <r>
    <s v="C2194"/>
    <x v="1"/>
    <d v="2025-06-05T00:00:00"/>
    <n v="5"/>
    <n v="159"/>
    <s v="Customer C2194"/>
    <x v="1"/>
    <x v="0"/>
    <x v="4"/>
    <n v="795"/>
    <x v="1"/>
    <n v="2025"/>
    <s v="Low Sales"/>
  </r>
  <r>
    <s v="C4011"/>
    <x v="0"/>
    <d v="2024-06-16T00:00:00"/>
    <n v="6"/>
    <n v="330.64"/>
    <s v="Customer C4011"/>
    <x v="2"/>
    <x v="1"/>
    <x v="2"/>
    <n v="1983.84"/>
    <x v="1"/>
    <n v="2024"/>
    <s v="Low Sales"/>
  </r>
  <r>
    <s v="C2801"/>
    <x v="0"/>
    <d v="2023-01-09T00:00:00"/>
    <n v="2"/>
    <n v="683.9"/>
    <s v="Customer C2801"/>
    <x v="1"/>
    <x v="1"/>
    <x v="1"/>
    <n v="1367.8"/>
    <x v="6"/>
    <n v="2023"/>
    <s v="Low Sales"/>
  </r>
  <r>
    <s v="C3162"/>
    <x v="1"/>
    <d v="2025-05-06T00:00:00"/>
    <n v="5"/>
    <n v="9.8800000000000008"/>
    <s v="Customer C3162"/>
    <x v="0"/>
    <x v="0"/>
    <x v="4"/>
    <n v="49.400000000000013"/>
    <x v="10"/>
    <n v="2025"/>
    <s v="Low Sales"/>
  </r>
  <r>
    <s v="C3096"/>
    <x v="5"/>
    <d v="2024-04-13T00:00:00"/>
    <n v="2"/>
    <n v="650.49"/>
    <s v="Customer C3096"/>
    <x v="0"/>
    <x v="4"/>
    <x v="1"/>
    <n v="1300.98"/>
    <x v="3"/>
    <n v="2024"/>
    <s v="Low Sales"/>
  </r>
  <r>
    <s v="C3460"/>
    <x v="4"/>
    <d v="2023-06-12T00:00:00"/>
    <n v="8"/>
    <n v="652.61"/>
    <s v="Customer C3460"/>
    <x v="2"/>
    <x v="3"/>
    <x v="0"/>
    <n v="5220.88"/>
    <x v="1"/>
    <n v="2023"/>
    <s v="High Sales"/>
  </r>
  <r>
    <s v="C3589"/>
    <x v="1"/>
    <d v="2023-11-29T00:00:00"/>
    <n v="1"/>
    <n v="410.32"/>
    <s v="Customer C3589"/>
    <x v="2"/>
    <x v="1"/>
    <x v="4"/>
    <n v="410.32"/>
    <x v="7"/>
    <n v="2023"/>
    <s v="Low Sales"/>
  </r>
  <r>
    <s v="C8523"/>
    <x v="0"/>
    <d v="2023-11-03T00:00:00"/>
    <n v="7"/>
    <n v="547.1"/>
    <s v="Customer C8523"/>
    <x v="0"/>
    <x v="1"/>
    <x v="3"/>
    <n v="3829.7"/>
    <x v="7"/>
    <n v="2023"/>
    <s v="High Sales"/>
  </r>
  <r>
    <s v="C4507"/>
    <x v="0"/>
    <d v="2025-06-19T00:00:00"/>
    <n v="8"/>
    <n v="113.63"/>
    <s v="Customer C4507"/>
    <x v="1"/>
    <x v="4"/>
    <x v="1"/>
    <n v="909.04"/>
    <x v="1"/>
    <n v="2025"/>
    <s v="Low Sales"/>
  </r>
  <r>
    <s v="C1349"/>
    <x v="3"/>
    <d v="2025-02-06T00:00:00"/>
    <n v="7"/>
    <n v="10.14"/>
    <s v="Customer C1349"/>
    <x v="0"/>
    <x v="4"/>
    <x v="2"/>
    <n v="70.98"/>
    <x v="5"/>
    <n v="2025"/>
    <s v="Low Sales"/>
  </r>
  <r>
    <s v="C2910"/>
    <x v="3"/>
    <d v="2023-04-17T00:00:00"/>
    <n v="4"/>
    <n v="448.03"/>
    <s v="Customer C2910"/>
    <x v="0"/>
    <x v="3"/>
    <x v="3"/>
    <n v="1792.12"/>
    <x v="3"/>
    <n v="2023"/>
    <s v="Low Sales"/>
  </r>
  <r>
    <s v="C8338"/>
    <x v="2"/>
    <d v="2024-06-06T00:00:00"/>
    <n v="8"/>
    <n v="621.75"/>
    <s v="Customer C8338"/>
    <x v="0"/>
    <x v="0"/>
    <x v="3"/>
    <n v="4974"/>
    <x v="1"/>
    <n v="2024"/>
    <s v="High Sales"/>
  </r>
  <r>
    <s v="C9578"/>
    <x v="1"/>
    <d v="2023-09-25T00:00:00"/>
    <n v="6"/>
    <n v="634.28"/>
    <s v="Customer C9578"/>
    <x v="1"/>
    <x v="1"/>
    <x v="4"/>
    <n v="3805.68"/>
    <x v="2"/>
    <n v="2023"/>
    <s v="High Sales"/>
  </r>
  <r>
    <s v="C2645"/>
    <x v="0"/>
    <d v="2024-12-07T00:00:00"/>
    <n v="8"/>
    <n v="470.4"/>
    <s v="Customer C2645"/>
    <x v="1"/>
    <x v="2"/>
    <x v="3"/>
    <n v="3763.2"/>
    <x v="8"/>
    <n v="2024"/>
    <s v="High Sales"/>
  </r>
  <r>
    <s v="C7332"/>
    <x v="4"/>
    <d v="2025-01-18T00:00:00"/>
    <n v="7"/>
    <n v="285.35000000000002"/>
    <s v="Customer C7332"/>
    <x v="0"/>
    <x v="2"/>
    <x v="0"/>
    <n v="1997.45"/>
    <x v="6"/>
    <n v="2025"/>
    <s v="Low Sales"/>
  </r>
  <r>
    <s v="C7272"/>
    <x v="2"/>
    <d v="2024-01-12T00:00:00"/>
    <n v="3"/>
    <n v="80.7"/>
    <s v="Customer C7272"/>
    <x v="2"/>
    <x v="1"/>
    <x v="0"/>
    <n v="242.1"/>
    <x v="6"/>
    <n v="2024"/>
    <s v="Low Sales"/>
  </r>
  <r>
    <s v="C9841"/>
    <x v="1"/>
    <d v="2025-05-16T00:00:00"/>
    <n v="2"/>
    <n v="134.49"/>
    <s v="Customer C9841"/>
    <x v="2"/>
    <x v="2"/>
    <x v="4"/>
    <n v="268.98"/>
    <x v="10"/>
    <n v="2025"/>
    <s v="Low Sales"/>
  </r>
  <r>
    <s v="C9328"/>
    <x v="6"/>
    <d v="2025-05-26T00:00:00"/>
    <n v="6"/>
    <n v="427.49"/>
    <s v="Customer C9328"/>
    <x v="0"/>
    <x v="2"/>
    <x v="3"/>
    <n v="2564.94"/>
    <x v="10"/>
    <n v="2025"/>
    <s v="High Sales"/>
  </r>
  <r>
    <s v="C9505"/>
    <x v="4"/>
    <d v="2024-09-06T00:00:00"/>
    <n v="2"/>
    <n v="388.43"/>
    <s v="Customer C9505"/>
    <x v="2"/>
    <x v="2"/>
    <x v="2"/>
    <n v="776.86"/>
    <x v="2"/>
    <n v="2024"/>
    <s v="Low Sales"/>
  </r>
  <r>
    <s v="C2357"/>
    <x v="2"/>
    <d v="2023-11-08T00:00:00"/>
    <n v="2"/>
    <n v="449.21"/>
    <s v="Customer C2357"/>
    <x v="2"/>
    <x v="1"/>
    <x v="2"/>
    <n v="898.42"/>
    <x v="7"/>
    <n v="2023"/>
    <s v="Low Sales"/>
  </r>
  <r>
    <s v="C8176"/>
    <x v="1"/>
    <d v="2025-01-21T00:00:00"/>
    <n v="3"/>
    <n v="7.63"/>
    <s v="Customer C8176"/>
    <x v="1"/>
    <x v="1"/>
    <x v="1"/>
    <n v="22.89"/>
    <x v="6"/>
    <n v="2025"/>
    <s v="Low Sales"/>
  </r>
  <r>
    <s v="C7633"/>
    <x v="6"/>
    <d v="2023-04-07T00:00:00"/>
    <n v="3"/>
    <n v="96.85"/>
    <s v="Customer C7633"/>
    <x v="2"/>
    <x v="0"/>
    <x v="2"/>
    <n v="290.55"/>
    <x v="3"/>
    <n v="2023"/>
    <s v="Low Sales"/>
  </r>
  <r>
    <s v="C6165"/>
    <x v="4"/>
    <d v="2024-06-19T00:00:00"/>
    <n v="3"/>
    <n v="783.65"/>
    <s v="Customer C6165"/>
    <x v="0"/>
    <x v="0"/>
    <x v="3"/>
    <n v="2350.9499999999998"/>
    <x v="1"/>
    <n v="2024"/>
    <s v="High Sales"/>
  </r>
  <r>
    <s v="C6377"/>
    <x v="2"/>
    <d v="2023-01-14T00:00:00"/>
    <n v="4"/>
    <n v="566.23"/>
    <s v="Customer C6377"/>
    <x v="2"/>
    <x v="2"/>
    <x v="1"/>
    <n v="2264.92"/>
    <x v="6"/>
    <n v="2023"/>
    <s v="High Sales"/>
  </r>
  <r>
    <s v="C1172"/>
    <x v="3"/>
    <d v="2023-06-11T00:00:00"/>
    <n v="3"/>
    <n v="120.53"/>
    <s v="Customer C1172"/>
    <x v="2"/>
    <x v="4"/>
    <x v="4"/>
    <n v="361.59"/>
    <x v="1"/>
    <n v="2023"/>
    <s v="Low Sales"/>
  </r>
  <r>
    <s v="C7580"/>
    <x v="1"/>
    <d v="2023-02-09T00:00:00"/>
    <n v="1"/>
    <n v="499.22"/>
    <s v="Customer C7580"/>
    <x v="1"/>
    <x v="0"/>
    <x v="0"/>
    <n v="499.22"/>
    <x v="5"/>
    <n v="2023"/>
    <s v="Low Sales"/>
  </r>
  <r>
    <s v="C4543"/>
    <x v="1"/>
    <d v="2025-05-20T00:00:00"/>
    <n v="8"/>
    <n v="363.25"/>
    <s v="Customer C4543"/>
    <x v="2"/>
    <x v="3"/>
    <x v="1"/>
    <n v="2906"/>
    <x v="10"/>
    <n v="2025"/>
    <s v="High Sales"/>
  </r>
  <r>
    <s v="C2642"/>
    <x v="6"/>
    <d v="2023-12-21T00:00:00"/>
    <n v="6"/>
    <n v="684.42"/>
    <s v="Customer C2642"/>
    <x v="1"/>
    <x v="0"/>
    <x v="1"/>
    <n v="4106.5200000000004"/>
    <x v="8"/>
    <n v="2023"/>
    <s v="High Sales"/>
  </r>
  <r>
    <s v="C6203"/>
    <x v="6"/>
    <d v="2024-11-28T00:00:00"/>
    <n v="6"/>
    <n v="416.2"/>
    <s v="Customer C6203"/>
    <x v="0"/>
    <x v="0"/>
    <x v="1"/>
    <n v="2497.1999999999998"/>
    <x v="7"/>
    <n v="2024"/>
    <s v="High Sales"/>
  </r>
  <r>
    <s v="C4576"/>
    <x v="0"/>
    <d v="2025-02-13T00:00:00"/>
    <n v="7"/>
    <n v="536.13"/>
    <s v="Customer C4576"/>
    <x v="1"/>
    <x v="4"/>
    <x v="0"/>
    <n v="3752.91"/>
    <x v="5"/>
    <n v="2025"/>
    <s v="High Sales"/>
  </r>
  <r>
    <s v="C3626"/>
    <x v="4"/>
    <d v="2024-02-20T00:00:00"/>
    <n v="4"/>
    <n v="606.22"/>
    <s v="Customer C3626"/>
    <x v="1"/>
    <x v="4"/>
    <x v="1"/>
    <n v="2424.88"/>
    <x v="5"/>
    <n v="2024"/>
    <s v="High Sales"/>
  </r>
  <r>
    <s v="C7227"/>
    <x v="4"/>
    <d v="2023-02-22T00:00:00"/>
    <n v="8"/>
    <n v="165.92"/>
    <s v="Customer C7227"/>
    <x v="0"/>
    <x v="4"/>
    <x v="0"/>
    <n v="1327.36"/>
    <x v="5"/>
    <n v="2023"/>
    <s v="Low Sales"/>
  </r>
  <r>
    <s v="C9723"/>
    <x v="5"/>
    <d v="2025-01-04T00:00:00"/>
    <n v="8"/>
    <n v="777.8"/>
    <s v="Customer C9723"/>
    <x v="0"/>
    <x v="0"/>
    <x v="1"/>
    <n v="6222.4"/>
    <x v="6"/>
    <n v="2025"/>
    <s v="High Sales"/>
  </r>
  <r>
    <s v="C9307"/>
    <x v="3"/>
    <d v="2025-01-28T00:00:00"/>
    <n v="1"/>
    <n v="167.38"/>
    <s v="Customer C9307"/>
    <x v="1"/>
    <x v="0"/>
    <x v="4"/>
    <n v="167.38"/>
    <x v="6"/>
    <n v="2025"/>
    <s v="Low Sales"/>
  </r>
  <r>
    <s v="C7581"/>
    <x v="5"/>
    <d v="2024-01-20T00:00:00"/>
    <n v="6"/>
    <n v="706.16"/>
    <s v="Customer C7581"/>
    <x v="0"/>
    <x v="2"/>
    <x v="3"/>
    <n v="4236.96"/>
    <x v="6"/>
    <n v="2024"/>
    <s v="High Sales"/>
  </r>
  <r>
    <s v="C4693"/>
    <x v="0"/>
    <d v="2023-08-19T00:00:00"/>
    <n v="4"/>
    <n v="517.12"/>
    <s v="Customer C4693"/>
    <x v="1"/>
    <x v="0"/>
    <x v="1"/>
    <n v="2068.48"/>
    <x v="4"/>
    <n v="2023"/>
    <s v="High Sales"/>
  </r>
  <r>
    <s v="C9163"/>
    <x v="0"/>
    <d v="2023-03-19T00:00:00"/>
    <n v="6"/>
    <n v="441.69"/>
    <s v="Customer C9163"/>
    <x v="2"/>
    <x v="3"/>
    <x v="1"/>
    <n v="2650.14"/>
    <x v="0"/>
    <n v="2023"/>
    <s v="High Sales"/>
  </r>
  <r>
    <s v="C7433"/>
    <x v="5"/>
    <d v="2024-01-04T00:00:00"/>
    <n v="3"/>
    <n v="275.93"/>
    <s v="Customer C7433"/>
    <x v="1"/>
    <x v="0"/>
    <x v="2"/>
    <n v="827.79"/>
    <x v="6"/>
    <n v="2024"/>
    <s v="Low Sales"/>
  </r>
  <r>
    <s v="C6992"/>
    <x v="4"/>
    <d v="2023-05-20T00:00:00"/>
    <n v="3"/>
    <n v="63.43"/>
    <s v="Customer C6992"/>
    <x v="1"/>
    <x v="1"/>
    <x v="3"/>
    <n v="190.29"/>
    <x v="10"/>
    <n v="2023"/>
    <s v="Low Sales"/>
  </r>
  <r>
    <s v="C7426"/>
    <x v="0"/>
    <d v="2025-02-01T00:00:00"/>
    <n v="1"/>
    <n v="631.80999999999995"/>
    <s v="Customer C7426"/>
    <x v="2"/>
    <x v="2"/>
    <x v="1"/>
    <n v="631.80999999999995"/>
    <x v="5"/>
    <n v="2025"/>
    <s v="Low Sales"/>
  </r>
  <r>
    <s v="C6431"/>
    <x v="2"/>
    <d v="2023-08-08T00:00:00"/>
    <n v="6"/>
    <n v="658.7"/>
    <s v="Customer C6431"/>
    <x v="1"/>
    <x v="2"/>
    <x v="3"/>
    <n v="3952.2"/>
    <x v="4"/>
    <n v="2023"/>
    <s v="High Sales"/>
  </r>
  <r>
    <s v="C5194"/>
    <x v="0"/>
    <d v="2023-02-24T00:00:00"/>
    <n v="7"/>
    <n v="607.38"/>
    <s v="Customer C5194"/>
    <x v="1"/>
    <x v="1"/>
    <x v="0"/>
    <n v="4251.66"/>
    <x v="5"/>
    <n v="2023"/>
    <s v="High Sales"/>
  </r>
  <r>
    <s v="C8964"/>
    <x v="0"/>
    <d v="2024-07-18T00:00:00"/>
    <n v="7"/>
    <n v="509.99"/>
    <s v="Customer C8964"/>
    <x v="0"/>
    <x v="2"/>
    <x v="0"/>
    <n v="3569.93"/>
    <x v="11"/>
    <n v="2024"/>
    <s v="High Sales"/>
  </r>
  <r>
    <s v="C7564"/>
    <x v="4"/>
    <d v="2024-01-31T00:00:00"/>
    <n v="2"/>
    <n v="555.65"/>
    <s v="Customer C7564"/>
    <x v="2"/>
    <x v="4"/>
    <x v="4"/>
    <n v="1111.3"/>
    <x v="6"/>
    <n v="2024"/>
    <s v="Low Sales"/>
  </r>
  <r>
    <s v="C9019"/>
    <x v="6"/>
    <d v="2024-03-25T00:00:00"/>
    <n v="1"/>
    <n v="122.52"/>
    <s v="Customer C9019"/>
    <x v="2"/>
    <x v="1"/>
    <x v="2"/>
    <n v="122.52"/>
    <x v="0"/>
    <n v="2024"/>
    <s v="Low Sales"/>
  </r>
  <r>
    <s v="C4324"/>
    <x v="3"/>
    <d v="2023-01-19T00:00:00"/>
    <n v="6"/>
    <n v="60.9"/>
    <s v="Customer C4324"/>
    <x v="1"/>
    <x v="3"/>
    <x v="2"/>
    <n v="365.4"/>
    <x v="6"/>
    <n v="2023"/>
    <s v="Low Sales"/>
  </r>
  <r>
    <s v="C4399"/>
    <x v="4"/>
    <d v="2023-02-25T00:00:00"/>
    <n v="1"/>
    <n v="234.79"/>
    <s v="Customer C4399"/>
    <x v="1"/>
    <x v="1"/>
    <x v="4"/>
    <n v="234.79"/>
    <x v="5"/>
    <n v="2023"/>
    <s v="Low Sales"/>
  </r>
  <r>
    <s v="C9533"/>
    <x v="3"/>
    <d v="2023-03-20T00:00:00"/>
    <n v="6"/>
    <n v="158.22999999999999"/>
    <s v="Customer C9533"/>
    <x v="1"/>
    <x v="0"/>
    <x v="2"/>
    <n v="949.37999999999988"/>
    <x v="0"/>
    <n v="2023"/>
    <s v="Low Sales"/>
  </r>
  <r>
    <s v="C6629"/>
    <x v="6"/>
    <d v="2025-06-20T00:00:00"/>
    <n v="1"/>
    <n v="450.66"/>
    <s v="Customer C6629"/>
    <x v="2"/>
    <x v="0"/>
    <x v="0"/>
    <n v="450.66"/>
    <x v="1"/>
    <n v="2025"/>
    <s v="Low Sales"/>
  </r>
  <r>
    <s v="C2179"/>
    <x v="5"/>
    <d v="2023-09-23T00:00:00"/>
    <n v="2"/>
    <n v="69.97"/>
    <s v="Customer C2179"/>
    <x v="1"/>
    <x v="4"/>
    <x v="4"/>
    <n v="139.94"/>
    <x v="2"/>
    <n v="2023"/>
    <s v="Low Sales"/>
  </r>
  <r>
    <s v="C7838"/>
    <x v="0"/>
    <d v="2024-03-13T00:00:00"/>
    <n v="4"/>
    <n v="778.86"/>
    <s v="Customer C7838"/>
    <x v="1"/>
    <x v="4"/>
    <x v="4"/>
    <n v="3115.44"/>
    <x v="0"/>
    <n v="2024"/>
    <s v="High Sales"/>
  </r>
  <r>
    <s v="C2462"/>
    <x v="4"/>
    <d v="2025-01-03T00:00:00"/>
    <n v="7"/>
    <n v="383.36"/>
    <s v="Customer C2462"/>
    <x v="0"/>
    <x v="1"/>
    <x v="2"/>
    <n v="2683.52"/>
    <x v="6"/>
    <n v="2025"/>
    <s v="High Sales"/>
  </r>
  <r>
    <s v="C3708"/>
    <x v="5"/>
    <d v="2024-11-05T00:00:00"/>
    <n v="7"/>
    <n v="487.31"/>
    <s v="Customer C3708"/>
    <x v="1"/>
    <x v="0"/>
    <x v="1"/>
    <n v="3411.17"/>
    <x v="7"/>
    <n v="2024"/>
    <s v="High Sales"/>
  </r>
  <r>
    <s v="C2550"/>
    <x v="4"/>
    <d v="2024-10-17T00:00:00"/>
    <n v="5"/>
    <n v="389.98"/>
    <s v="Customer C2550"/>
    <x v="2"/>
    <x v="3"/>
    <x v="1"/>
    <n v="1949.9"/>
    <x v="9"/>
    <n v="2024"/>
    <s v="Low Sales"/>
  </r>
  <r>
    <s v="C5032"/>
    <x v="0"/>
    <d v="2025-03-23T00:00:00"/>
    <n v="4"/>
    <n v="184.5"/>
    <s v="Customer C5032"/>
    <x v="2"/>
    <x v="4"/>
    <x v="1"/>
    <n v="738"/>
    <x v="0"/>
    <n v="2025"/>
    <s v="Low Sales"/>
  </r>
  <r>
    <s v="C9725"/>
    <x v="3"/>
    <d v="2024-03-14T00:00:00"/>
    <n v="7"/>
    <n v="303.18"/>
    <s v="Customer C9725"/>
    <x v="0"/>
    <x v="0"/>
    <x v="3"/>
    <n v="2122.2600000000002"/>
    <x v="0"/>
    <n v="2024"/>
    <s v="High Sales"/>
  </r>
  <r>
    <s v="C5158"/>
    <x v="5"/>
    <d v="2023-11-09T00:00:00"/>
    <n v="2"/>
    <n v="84.22"/>
    <s v="Customer C5158"/>
    <x v="2"/>
    <x v="1"/>
    <x v="2"/>
    <n v="168.44"/>
    <x v="7"/>
    <n v="2023"/>
    <s v="Low Sales"/>
  </r>
  <r>
    <s v="C7916"/>
    <x v="6"/>
    <d v="2024-08-21T00:00:00"/>
    <n v="8"/>
    <n v="665.91"/>
    <s v="Customer C7916"/>
    <x v="2"/>
    <x v="1"/>
    <x v="2"/>
    <n v="5327.28"/>
    <x v="4"/>
    <n v="2024"/>
    <s v="High Sales"/>
  </r>
  <r>
    <s v="C8723"/>
    <x v="2"/>
    <d v="2024-01-25T00:00:00"/>
    <n v="8"/>
    <n v="326.48"/>
    <s v="Customer C8723"/>
    <x v="2"/>
    <x v="2"/>
    <x v="4"/>
    <n v="2611.84"/>
    <x v="6"/>
    <n v="2024"/>
    <s v="High Sales"/>
  </r>
  <r>
    <s v="C8670"/>
    <x v="1"/>
    <d v="2025-02-15T00:00:00"/>
    <n v="6"/>
    <n v="342"/>
    <s v="Customer C8670"/>
    <x v="1"/>
    <x v="0"/>
    <x v="4"/>
    <n v="2052"/>
    <x v="5"/>
    <n v="2025"/>
    <s v="High Sales"/>
  </r>
  <r>
    <s v="C2734"/>
    <x v="3"/>
    <d v="2024-01-24T00:00:00"/>
    <n v="6"/>
    <n v="183.17"/>
    <s v="Customer C2734"/>
    <x v="2"/>
    <x v="2"/>
    <x v="1"/>
    <n v="1099.02"/>
    <x v="6"/>
    <n v="2024"/>
    <s v="Low Sales"/>
  </r>
  <r>
    <s v="C1589"/>
    <x v="6"/>
    <d v="2023-02-22T00:00:00"/>
    <n v="3"/>
    <n v="177.94"/>
    <s v="Customer C1589"/>
    <x v="2"/>
    <x v="2"/>
    <x v="1"/>
    <n v="533.81999999999994"/>
    <x v="5"/>
    <n v="2023"/>
    <s v="Low Sales"/>
  </r>
  <r>
    <s v="C4771"/>
    <x v="2"/>
    <d v="2024-05-02T00:00:00"/>
    <n v="5"/>
    <n v="775.79"/>
    <s v="Customer C4771"/>
    <x v="0"/>
    <x v="4"/>
    <x v="2"/>
    <n v="3878.95"/>
    <x v="10"/>
    <n v="2024"/>
    <s v="High Sales"/>
  </r>
  <r>
    <s v="C2958"/>
    <x v="5"/>
    <d v="2024-06-28T00:00:00"/>
    <n v="6"/>
    <n v="505.37"/>
    <s v="Customer C2958"/>
    <x v="1"/>
    <x v="1"/>
    <x v="3"/>
    <n v="3032.22"/>
    <x v="1"/>
    <n v="2024"/>
    <s v="High Sales"/>
  </r>
  <r>
    <s v="C3828"/>
    <x v="6"/>
    <d v="2023-10-06T00:00:00"/>
    <n v="2"/>
    <n v="317.70999999999998"/>
    <s v="Customer C3828"/>
    <x v="0"/>
    <x v="3"/>
    <x v="4"/>
    <n v="635.41999999999996"/>
    <x v="9"/>
    <n v="2023"/>
    <s v="Low Sales"/>
  </r>
  <r>
    <s v="C3903"/>
    <x v="0"/>
    <d v="2024-03-08T00:00:00"/>
    <n v="7"/>
    <n v="688.23"/>
    <s v="Customer C3903"/>
    <x v="1"/>
    <x v="0"/>
    <x v="4"/>
    <n v="4817.6100000000006"/>
    <x v="0"/>
    <n v="2024"/>
    <s v="High Sales"/>
  </r>
  <r>
    <s v="C4863"/>
    <x v="4"/>
    <d v="2025-01-10T00:00:00"/>
    <n v="7"/>
    <n v="766.99"/>
    <s v="Customer C4863"/>
    <x v="0"/>
    <x v="2"/>
    <x v="2"/>
    <n v="5368.93"/>
    <x v="6"/>
    <n v="2025"/>
    <s v="High Sales"/>
  </r>
  <r>
    <s v="C9813"/>
    <x v="2"/>
    <d v="2024-12-25T00:00:00"/>
    <n v="6"/>
    <n v="407.58"/>
    <s v="Customer C9813"/>
    <x v="1"/>
    <x v="0"/>
    <x v="2"/>
    <n v="2445.48"/>
    <x v="8"/>
    <n v="2024"/>
    <s v="High Sales"/>
  </r>
  <r>
    <s v="C2931"/>
    <x v="3"/>
    <d v="2024-03-12T00:00:00"/>
    <n v="3"/>
    <n v="429.9"/>
    <s v="Customer C2931"/>
    <x v="1"/>
    <x v="3"/>
    <x v="4"/>
    <n v="1289.7"/>
    <x v="0"/>
    <n v="2024"/>
    <s v="Low Sales"/>
  </r>
  <r>
    <s v="C1887"/>
    <x v="4"/>
    <d v="2023-12-17T00:00:00"/>
    <n v="8"/>
    <n v="600.54999999999995"/>
    <s v="Customer C1887"/>
    <x v="1"/>
    <x v="0"/>
    <x v="2"/>
    <n v="4804.3999999999996"/>
    <x v="8"/>
    <n v="2023"/>
    <s v="High Sales"/>
  </r>
  <r>
    <s v="C4343"/>
    <x v="0"/>
    <d v="2023-05-26T00:00:00"/>
    <n v="5"/>
    <n v="254.14"/>
    <s v="Customer C4343"/>
    <x v="1"/>
    <x v="2"/>
    <x v="1"/>
    <n v="1270.7"/>
    <x v="10"/>
    <n v="2023"/>
    <s v="Low Sales"/>
  </r>
  <r>
    <s v="C1688"/>
    <x v="4"/>
    <d v="2023-12-02T00:00:00"/>
    <n v="7"/>
    <n v="523.87"/>
    <s v="Customer C1688"/>
    <x v="2"/>
    <x v="1"/>
    <x v="4"/>
    <n v="3667.09"/>
    <x v="8"/>
    <n v="2023"/>
    <s v="High Sales"/>
  </r>
  <r>
    <s v="C5554"/>
    <x v="2"/>
    <d v="2023-03-03T00:00:00"/>
    <n v="5"/>
    <n v="317.99"/>
    <s v="Customer C5554"/>
    <x v="1"/>
    <x v="3"/>
    <x v="2"/>
    <n v="1589.95"/>
    <x v="0"/>
    <n v="2023"/>
    <s v="Low Sales"/>
  </r>
  <r>
    <s v="C6697"/>
    <x v="0"/>
    <d v="2024-12-30T00:00:00"/>
    <n v="5"/>
    <n v="11.95"/>
    <s v="Customer C6697"/>
    <x v="1"/>
    <x v="0"/>
    <x v="4"/>
    <n v="59.75"/>
    <x v="8"/>
    <n v="2024"/>
    <s v="Low Sales"/>
  </r>
  <r>
    <s v="C9488"/>
    <x v="0"/>
    <d v="2024-10-05T00:00:00"/>
    <n v="7"/>
    <n v="192.85"/>
    <s v="Customer C9488"/>
    <x v="2"/>
    <x v="1"/>
    <x v="0"/>
    <n v="1349.95"/>
    <x v="9"/>
    <n v="2024"/>
    <s v="Low Sales"/>
  </r>
  <r>
    <s v="C9641"/>
    <x v="5"/>
    <d v="2024-08-31T00:00:00"/>
    <n v="5"/>
    <n v="136.72999999999999"/>
    <s v="Customer C9641"/>
    <x v="0"/>
    <x v="2"/>
    <x v="2"/>
    <n v="683.65"/>
    <x v="4"/>
    <n v="2024"/>
    <s v="Low Sales"/>
  </r>
  <r>
    <s v="C3666"/>
    <x v="0"/>
    <d v="2025-04-06T00:00:00"/>
    <n v="4"/>
    <n v="501.22"/>
    <s v="Customer C3666"/>
    <x v="2"/>
    <x v="0"/>
    <x v="2"/>
    <n v="2004.88"/>
    <x v="3"/>
    <n v="2025"/>
    <s v="High Sales"/>
  </r>
  <r>
    <s v="C5342"/>
    <x v="6"/>
    <d v="2024-08-24T00:00:00"/>
    <n v="6"/>
    <n v="445.51"/>
    <s v="Customer C5342"/>
    <x v="0"/>
    <x v="1"/>
    <x v="3"/>
    <n v="2673.06"/>
    <x v="4"/>
    <n v="2024"/>
    <s v="High Sales"/>
  </r>
  <r>
    <s v="C3773"/>
    <x v="5"/>
    <d v="2024-02-22T00:00:00"/>
    <n v="6"/>
    <n v="55.46"/>
    <s v="Customer C3773"/>
    <x v="0"/>
    <x v="1"/>
    <x v="1"/>
    <n v="332.76"/>
    <x v="5"/>
    <n v="2024"/>
    <s v="Low Sales"/>
  </r>
  <r>
    <s v="C7631"/>
    <x v="0"/>
    <d v="2025-03-23T00:00:00"/>
    <n v="1"/>
    <n v="592.98"/>
    <s v="Customer C7631"/>
    <x v="2"/>
    <x v="1"/>
    <x v="2"/>
    <n v="592.98"/>
    <x v="0"/>
    <n v="2025"/>
    <s v="Low Sales"/>
  </r>
  <r>
    <s v="C4488"/>
    <x v="2"/>
    <d v="2023-08-18T00:00:00"/>
    <n v="7"/>
    <n v="591.5"/>
    <s v="Customer C4488"/>
    <x v="1"/>
    <x v="3"/>
    <x v="4"/>
    <n v="4140.5"/>
    <x v="4"/>
    <n v="2023"/>
    <s v="High Sales"/>
  </r>
  <r>
    <s v="C7586"/>
    <x v="3"/>
    <d v="2025-03-23T00:00:00"/>
    <n v="5"/>
    <n v="486.12"/>
    <s v="Customer C7586"/>
    <x v="1"/>
    <x v="2"/>
    <x v="4"/>
    <n v="2430.6"/>
    <x v="0"/>
    <n v="2025"/>
    <s v="High Sales"/>
  </r>
  <r>
    <s v="C5784"/>
    <x v="6"/>
    <d v="2023-04-12T00:00:00"/>
    <n v="7"/>
    <n v="617.02"/>
    <s v="Customer C5784"/>
    <x v="0"/>
    <x v="2"/>
    <x v="3"/>
    <n v="4319.1399999999994"/>
    <x v="3"/>
    <n v="2023"/>
    <s v="High Sales"/>
  </r>
  <r>
    <s v="C3222"/>
    <x v="1"/>
    <d v="2024-09-19T00:00:00"/>
    <n v="8"/>
    <n v="72.209999999999994"/>
    <s v="Customer C3222"/>
    <x v="1"/>
    <x v="1"/>
    <x v="2"/>
    <n v="577.67999999999995"/>
    <x v="2"/>
    <n v="2024"/>
    <s v="Low Sales"/>
  </r>
  <r>
    <s v="C4409"/>
    <x v="5"/>
    <d v="2024-09-11T00:00:00"/>
    <n v="5"/>
    <n v="454.21"/>
    <s v="Customer C4409"/>
    <x v="1"/>
    <x v="2"/>
    <x v="0"/>
    <n v="2271.0500000000002"/>
    <x v="2"/>
    <n v="2024"/>
    <s v="High Sales"/>
  </r>
  <r>
    <s v="C3334"/>
    <x v="5"/>
    <d v="2025-05-18T00:00:00"/>
    <n v="4"/>
    <n v="69.53"/>
    <s v="Customer C3334"/>
    <x v="2"/>
    <x v="1"/>
    <x v="1"/>
    <n v="278.12"/>
    <x v="10"/>
    <n v="2025"/>
    <s v="Low Sales"/>
  </r>
  <r>
    <s v="C3207"/>
    <x v="2"/>
    <d v="2024-02-23T00:00:00"/>
    <n v="7"/>
    <n v="608.99"/>
    <s v="Customer C3207"/>
    <x v="0"/>
    <x v="1"/>
    <x v="4"/>
    <n v="4262.93"/>
    <x v="5"/>
    <n v="2024"/>
    <s v="High Sales"/>
  </r>
  <r>
    <s v="C5890"/>
    <x v="1"/>
    <d v="2023-04-26T00:00:00"/>
    <n v="4"/>
    <n v="734.98"/>
    <s v="Customer C5890"/>
    <x v="0"/>
    <x v="3"/>
    <x v="1"/>
    <n v="2939.92"/>
    <x v="3"/>
    <n v="2023"/>
    <s v="High Sales"/>
  </r>
  <r>
    <s v="C8577"/>
    <x v="2"/>
    <d v="2024-09-11T00:00:00"/>
    <n v="8"/>
    <n v="571.33000000000004"/>
    <s v="Customer C8577"/>
    <x v="2"/>
    <x v="0"/>
    <x v="3"/>
    <n v="4570.6400000000003"/>
    <x v="2"/>
    <n v="2024"/>
    <s v="High Sales"/>
  </r>
  <r>
    <s v="C1425"/>
    <x v="1"/>
    <d v="2023-02-20T00:00:00"/>
    <n v="5"/>
    <n v="287.26"/>
    <s v="Customer C1425"/>
    <x v="1"/>
    <x v="3"/>
    <x v="0"/>
    <n v="1436.3"/>
    <x v="5"/>
    <n v="2023"/>
    <s v="Low Sales"/>
  </r>
  <r>
    <s v="C6903"/>
    <x v="5"/>
    <d v="2024-10-26T00:00:00"/>
    <n v="2"/>
    <n v="271.44"/>
    <s v="Customer C6903"/>
    <x v="2"/>
    <x v="3"/>
    <x v="4"/>
    <n v="542.88"/>
    <x v="9"/>
    <n v="2024"/>
    <s v="Low Sales"/>
  </r>
  <r>
    <s v="C3696"/>
    <x v="3"/>
    <d v="2024-10-22T00:00:00"/>
    <n v="4"/>
    <n v="669.05"/>
    <s v="Customer C3696"/>
    <x v="0"/>
    <x v="1"/>
    <x v="3"/>
    <n v="2676.2"/>
    <x v="9"/>
    <n v="2024"/>
    <s v="High Sales"/>
  </r>
  <r>
    <s v="C2057"/>
    <x v="3"/>
    <d v="2023-09-12T00:00:00"/>
    <n v="3"/>
    <n v="688.48"/>
    <s v="Customer C2057"/>
    <x v="2"/>
    <x v="2"/>
    <x v="0"/>
    <n v="2065.44"/>
    <x v="2"/>
    <n v="2023"/>
    <s v="High Sales"/>
  </r>
  <r>
    <s v="C8267"/>
    <x v="6"/>
    <d v="2025-06-22T00:00:00"/>
    <n v="8"/>
    <n v="300.64"/>
    <s v="Customer C8267"/>
    <x v="0"/>
    <x v="2"/>
    <x v="1"/>
    <n v="2405.12"/>
    <x v="1"/>
    <n v="2025"/>
    <s v="High Sales"/>
  </r>
  <r>
    <s v="C9579"/>
    <x v="4"/>
    <d v="2023-02-07T00:00:00"/>
    <n v="3"/>
    <n v="612.01"/>
    <s v="Customer C9579"/>
    <x v="0"/>
    <x v="4"/>
    <x v="1"/>
    <n v="1836.03"/>
    <x v="5"/>
    <n v="2023"/>
    <s v="Low Sales"/>
  </r>
  <r>
    <s v="C3699"/>
    <x v="2"/>
    <d v="2023-02-07T00:00:00"/>
    <n v="2"/>
    <n v="454.61"/>
    <s v="Customer C3699"/>
    <x v="2"/>
    <x v="4"/>
    <x v="4"/>
    <n v="909.22"/>
    <x v="5"/>
    <n v="2023"/>
    <s v="Low Sales"/>
  </r>
  <r>
    <s v="C6085"/>
    <x v="0"/>
    <d v="2024-03-29T00:00:00"/>
    <n v="6"/>
    <n v="8.31"/>
    <s v="Customer C6085"/>
    <x v="2"/>
    <x v="0"/>
    <x v="0"/>
    <n v="49.86"/>
    <x v="0"/>
    <n v="2024"/>
    <s v="Low Sales"/>
  </r>
  <r>
    <s v="C8574"/>
    <x v="1"/>
    <d v="2023-04-27T00:00:00"/>
    <n v="3"/>
    <n v="275.94"/>
    <s v="Customer C8574"/>
    <x v="0"/>
    <x v="2"/>
    <x v="3"/>
    <n v="827.81999999999994"/>
    <x v="3"/>
    <n v="2023"/>
    <s v="Low Sales"/>
  </r>
  <r>
    <s v="C7521"/>
    <x v="2"/>
    <d v="2024-04-28T00:00:00"/>
    <n v="3"/>
    <n v="603.4"/>
    <s v="Customer C7521"/>
    <x v="2"/>
    <x v="0"/>
    <x v="2"/>
    <n v="1810.2"/>
    <x v="3"/>
    <n v="2024"/>
    <s v="Low Sales"/>
  </r>
  <r>
    <s v="C8044"/>
    <x v="3"/>
    <d v="2023-04-03T00:00:00"/>
    <n v="5"/>
    <n v="770.99"/>
    <s v="Customer C8044"/>
    <x v="0"/>
    <x v="1"/>
    <x v="2"/>
    <n v="3854.95"/>
    <x v="3"/>
    <n v="2023"/>
    <s v="High Sales"/>
  </r>
  <r>
    <s v="C9559"/>
    <x v="6"/>
    <d v="2023-06-15T00:00:00"/>
    <n v="6"/>
    <n v="484.43"/>
    <s v="Customer C9559"/>
    <x v="1"/>
    <x v="1"/>
    <x v="3"/>
    <n v="2906.58"/>
    <x v="1"/>
    <n v="2023"/>
    <s v="High Sales"/>
  </r>
  <r>
    <s v="C6600"/>
    <x v="4"/>
    <d v="2024-12-11T00:00:00"/>
    <n v="1"/>
    <n v="781.99"/>
    <s v="Customer C6600"/>
    <x v="0"/>
    <x v="4"/>
    <x v="1"/>
    <n v="781.99"/>
    <x v="8"/>
    <n v="2024"/>
    <s v="Low Sales"/>
  </r>
  <r>
    <s v="C5140"/>
    <x v="0"/>
    <d v="2025-03-29T00:00:00"/>
    <n v="5"/>
    <n v="406.64"/>
    <s v="Customer C5140"/>
    <x v="0"/>
    <x v="1"/>
    <x v="4"/>
    <n v="2033.2"/>
    <x v="0"/>
    <n v="2025"/>
    <s v="High Sales"/>
  </r>
  <r>
    <s v="C2690"/>
    <x v="6"/>
    <d v="2025-03-12T00:00:00"/>
    <n v="1"/>
    <n v="261.17"/>
    <s v="Customer C2690"/>
    <x v="0"/>
    <x v="3"/>
    <x v="0"/>
    <n v="261.17"/>
    <x v="0"/>
    <n v="2025"/>
    <s v="Low Sales"/>
  </r>
  <r>
    <s v="C1626"/>
    <x v="6"/>
    <d v="2023-02-11T00:00:00"/>
    <n v="6"/>
    <n v="646.4"/>
    <s v="Customer C1626"/>
    <x v="2"/>
    <x v="3"/>
    <x v="2"/>
    <n v="3878.4"/>
    <x v="5"/>
    <n v="2023"/>
    <s v="High Sales"/>
  </r>
  <r>
    <s v="C6843"/>
    <x v="2"/>
    <d v="2023-02-10T00:00:00"/>
    <n v="7"/>
    <n v="710.8"/>
    <s v="Customer C6843"/>
    <x v="0"/>
    <x v="0"/>
    <x v="0"/>
    <n v="4975.5999999999995"/>
    <x v="5"/>
    <n v="2023"/>
    <s v="High Sales"/>
  </r>
  <r>
    <s v="C8283"/>
    <x v="0"/>
    <d v="2025-06-05T00:00:00"/>
    <n v="5"/>
    <n v="287.66000000000003"/>
    <s v="Customer C8283"/>
    <x v="1"/>
    <x v="3"/>
    <x v="1"/>
    <n v="1438.3"/>
    <x v="1"/>
    <n v="2025"/>
    <s v="Low Sales"/>
  </r>
  <r>
    <s v="C8697"/>
    <x v="1"/>
    <d v="2024-07-19T00:00:00"/>
    <n v="8"/>
    <n v="516.33000000000004"/>
    <s v="Customer C8697"/>
    <x v="1"/>
    <x v="4"/>
    <x v="3"/>
    <n v="4130.6400000000003"/>
    <x v="11"/>
    <n v="2024"/>
    <s v="High Sales"/>
  </r>
  <r>
    <s v="C9511"/>
    <x v="4"/>
    <d v="2025-03-03T00:00:00"/>
    <n v="2"/>
    <n v="451.66"/>
    <s v="Customer C9511"/>
    <x v="2"/>
    <x v="3"/>
    <x v="3"/>
    <n v="903.32"/>
    <x v="0"/>
    <n v="2025"/>
    <s v="Low Sales"/>
  </r>
  <r>
    <s v="C4666"/>
    <x v="5"/>
    <d v="2024-12-07T00:00:00"/>
    <n v="2"/>
    <n v="8.89"/>
    <s v="Customer C4666"/>
    <x v="2"/>
    <x v="2"/>
    <x v="2"/>
    <n v="17.78"/>
    <x v="8"/>
    <n v="2024"/>
    <s v="Low Sales"/>
  </r>
  <r>
    <s v="C2904"/>
    <x v="2"/>
    <d v="2024-04-07T00:00:00"/>
    <n v="4"/>
    <n v="363.31"/>
    <s v="Customer C2904"/>
    <x v="2"/>
    <x v="4"/>
    <x v="2"/>
    <n v="1453.24"/>
    <x v="3"/>
    <n v="2024"/>
    <s v="Low Sales"/>
  </r>
  <r>
    <s v="C9800"/>
    <x v="1"/>
    <d v="2023-02-19T00:00:00"/>
    <n v="8"/>
    <n v="507.74"/>
    <s v="Customer C9800"/>
    <x v="1"/>
    <x v="2"/>
    <x v="1"/>
    <n v="4061.92"/>
    <x v="5"/>
    <n v="2023"/>
    <s v="High Sales"/>
  </r>
  <r>
    <s v="C3239"/>
    <x v="6"/>
    <d v="2024-05-30T00:00:00"/>
    <n v="6"/>
    <n v="645.22"/>
    <s v="Customer C3239"/>
    <x v="0"/>
    <x v="0"/>
    <x v="0"/>
    <n v="3871.32"/>
    <x v="10"/>
    <n v="2024"/>
    <s v="High Sales"/>
  </r>
  <r>
    <s v="C9006"/>
    <x v="6"/>
    <d v="2024-07-17T00:00:00"/>
    <n v="7"/>
    <n v="11.35"/>
    <s v="Customer C9006"/>
    <x v="2"/>
    <x v="0"/>
    <x v="1"/>
    <n v="79.45"/>
    <x v="11"/>
    <n v="2024"/>
    <s v="Low Sales"/>
  </r>
  <r>
    <s v="C6166"/>
    <x v="5"/>
    <d v="2025-01-24T00:00:00"/>
    <n v="1"/>
    <n v="550.04999999999995"/>
    <s v="Customer C6166"/>
    <x v="1"/>
    <x v="0"/>
    <x v="3"/>
    <n v="550.04999999999995"/>
    <x v="6"/>
    <n v="2025"/>
    <s v="Low Sales"/>
  </r>
  <r>
    <s v="C3152"/>
    <x v="2"/>
    <d v="2025-05-09T00:00:00"/>
    <n v="8"/>
    <n v="788.91"/>
    <s v="Customer C3152"/>
    <x v="2"/>
    <x v="0"/>
    <x v="0"/>
    <n v="6311.28"/>
    <x v="10"/>
    <n v="2025"/>
    <s v="High Sales"/>
  </r>
  <r>
    <s v="C6688"/>
    <x v="4"/>
    <d v="2025-04-07T00:00:00"/>
    <n v="6"/>
    <n v="60.99"/>
    <s v="Customer C6688"/>
    <x v="0"/>
    <x v="4"/>
    <x v="4"/>
    <n v="365.94"/>
    <x v="3"/>
    <n v="2025"/>
    <s v="Low Sales"/>
  </r>
  <r>
    <s v="C3231"/>
    <x v="4"/>
    <d v="2025-06-19T00:00:00"/>
    <n v="1"/>
    <n v="359.68"/>
    <s v="Customer C3231"/>
    <x v="0"/>
    <x v="2"/>
    <x v="2"/>
    <n v="359.68"/>
    <x v="1"/>
    <n v="2025"/>
    <s v="Low Sales"/>
  </r>
  <r>
    <s v="C8366"/>
    <x v="0"/>
    <d v="2024-04-27T00:00:00"/>
    <n v="1"/>
    <n v="750.46"/>
    <s v="Customer C8366"/>
    <x v="0"/>
    <x v="3"/>
    <x v="3"/>
    <n v="750.46"/>
    <x v="3"/>
    <n v="2024"/>
    <s v="Low Sales"/>
  </r>
  <r>
    <s v="C8444"/>
    <x v="3"/>
    <d v="2024-04-08T00:00:00"/>
    <n v="3"/>
    <n v="28.1"/>
    <s v="Customer C8444"/>
    <x v="0"/>
    <x v="3"/>
    <x v="4"/>
    <n v="84.300000000000011"/>
    <x v="3"/>
    <n v="2024"/>
    <s v="Low Sales"/>
  </r>
  <r>
    <s v="C8217"/>
    <x v="6"/>
    <d v="2025-02-13T00:00:00"/>
    <n v="3"/>
    <n v="699.19"/>
    <s v="Customer C8217"/>
    <x v="0"/>
    <x v="0"/>
    <x v="3"/>
    <n v="2097.5700000000002"/>
    <x v="5"/>
    <n v="2025"/>
    <s v="High Sales"/>
  </r>
  <r>
    <s v="C3455"/>
    <x v="2"/>
    <d v="2023-01-03T00:00:00"/>
    <n v="8"/>
    <n v="126.85"/>
    <s v="Customer C3455"/>
    <x v="0"/>
    <x v="1"/>
    <x v="0"/>
    <n v="1014.8"/>
    <x v="6"/>
    <n v="2023"/>
    <s v="Low Sales"/>
  </r>
  <r>
    <s v="C6539"/>
    <x v="4"/>
    <d v="2023-12-31T00:00:00"/>
    <n v="5"/>
    <n v="739.34"/>
    <s v="Customer C6539"/>
    <x v="1"/>
    <x v="4"/>
    <x v="3"/>
    <n v="3696.7"/>
    <x v="8"/>
    <n v="2023"/>
    <s v="High Sales"/>
  </r>
  <r>
    <s v="C5620"/>
    <x v="6"/>
    <d v="2023-05-05T00:00:00"/>
    <n v="7"/>
    <n v="424.41"/>
    <s v="Customer C5620"/>
    <x v="1"/>
    <x v="2"/>
    <x v="2"/>
    <n v="2970.87"/>
    <x v="10"/>
    <n v="2023"/>
    <s v="High Sales"/>
  </r>
  <r>
    <s v="C6296"/>
    <x v="3"/>
    <d v="2023-02-24T00:00:00"/>
    <n v="4"/>
    <n v="174.7"/>
    <s v="Customer C6296"/>
    <x v="0"/>
    <x v="4"/>
    <x v="0"/>
    <n v="698.8"/>
    <x v="5"/>
    <n v="2023"/>
    <s v="Low Sales"/>
  </r>
  <r>
    <s v="C8507"/>
    <x v="6"/>
    <d v="2023-01-04T00:00:00"/>
    <n v="6"/>
    <n v="243.58"/>
    <s v="Customer C8507"/>
    <x v="0"/>
    <x v="2"/>
    <x v="3"/>
    <n v="1461.48"/>
    <x v="6"/>
    <n v="2023"/>
    <s v="Low Sales"/>
  </r>
  <r>
    <s v="C1099"/>
    <x v="3"/>
    <d v="2024-10-12T00:00:00"/>
    <n v="7"/>
    <n v="286.52"/>
    <s v="Customer C1099"/>
    <x v="1"/>
    <x v="2"/>
    <x v="1"/>
    <n v="2005.64"/>
    <x v="9"/>
    <n v="2024"/>
    <s v="High Sales"/>
  </r>
  <r>
    <s v="C5989"/>
    <x v="1"/>
    <d v="2023-05-21T00:00:00"/>
    <n v="2"/>
    <n v="8.56"/>
    <s v="Customer C5989"/>
    <x v="1"/>
    <x v="2"/>
    <x v="0"/>
    <n v="17.12"/>
    <x v="10"/>
    <n v="2023"/>
    <s v="Low Sales"/>
  </r>
  <r>
    <s v="C3571"/>
    <x v="0"/>
    <d v="2024-10-29T00:00:00"/>
    <n v="6"/>
    <n v="18.03"/>
    <s v="Customer C3571"/>
    <x v="0"/>
    <x v="1"/>
    <x v="0"/>
    <n v="108.18"/>
    <x v="9"/>
    <n v="2024"/>
    <s v="Low Sales"/>
  </r>
  <r>
    <s v="C3416"/>
    <x v="1"/>
    <d v="2023-05-01T00:00:00"/>
    <n v="1"/>
    <n v="462.31"/>
    <s v="Customer C3416"/>
    <x v="1"/>
    <x v="2"/>
    <x v="4"/>
    <n v="462.31"/>
    <x v="10"/>
    <n v="2023"/>
    <s v="Low Sales"/>
  </r>
  <r>
    <s v="C2023"/>
    <x v="1"/>
    <d v="2023-11-11T00:00:00"/>
    <n v="6"/>
    <n v="313.62"/>
    <s v="Customer C2023"/>
    <x v="2"/>
    <x v="1"/>
    <x v="2"/>
    <n v="1881.72"/>
    <x v="7"/>
    <n v="2023"/>
    <s v="Low Sales"/>
  </r>
  <r>
    <s v="C6504"/>
    <x v="6"/>
    <d v="2024-02-08T00:00:00"/>
    <n v="2"/>
    <n v="267.7"/>
    <s v="Customer C6504"/>
    <x v="0"/>
    <x v="0"/>
    <x v="1"/>
    <n v="535.4"/>
    <x v="5"/>
    <n v="2024"/>
    <s v="Low Sales"/>
  </r>
  <r>
    <s v="C3773"/>
    <x v="1"/>
    <d v="2023-01-07T00:00:00"/>
    <n v="1"/>
    <n v="346.77"/>
    <s v="Customer C3773"/>
    <x v="0"/>
    <x v="3"/>
    <x v="3"/>
    <n v="346.77"/>
    <x v="6"/>
    <n v="2023"/>
    <s v="Low Sales"/>
  </r>
  <r>
    <s v="C4155"/>
    <x v="4"/>
    <d v="2023-11-14T00:00:00"/>
    <n v="5"/>
    <n v="117.04"/>
    <s v="Customer C4155"/>
    <x v="2"/>
    <x v="4"/>
    <x v="4"/>
    <n v="585.20000000000005"/>
    <x v="7"/>
    <n v="2023"/>
    <s v="Low Sales"/>
  </r>
  <r>
    <s v="C4702"/>
    <x v="3"/>
    <d v="2023-05-13T00:00:00"/>
    <n v="5"/>
    <n v="607.6"/>
    <s v="Customer C4702"/>
    <x v="0"/>
    <x v="0"/>
    <x v="2"/>
    <n v="3038"/>
    <x v="10"/>
    <n v="2023"/>
    <s v="High Sales"/>
  </r>
  <r>
    <s v="C7696"/>
    <x v="6"/>
    <d v="2025-02-13T00:00:00"/>
    <n v="2"/>
    <n v="286.87"/>
    <s v="Customer C7696"/>
    <x v="0"/>
    <x v="2"/>
    <x v="2"/>
    <n v="573.74"/>
    <x v="5"/>
    <n v="2025"/>
    <s v="Low Sales"/>
  </r>
  <r>
    <s v="C1433"/>
    <x v="3"/>
    <d v="2024-09-28T00:00:00"/>
    <n v="4"/>
    <n v="64.53"/>
    <s v="Customer C1433"/>
    <x v="1"/>
    <x v="2"/>
    <x v="1"/>
    <n v="258.12"/>
    <x v="2"/>
    <n v="2024"/>
    <s v="Low Sales"/>
  </r>
  <r>
    <s v="C2487"/>
    <x v="5"/>
    <d v="2025-02-03T00:00:00"/>
    <n v="7"/>
    <n v="7.19"/>
    <s v="Customer C2487"/>
    <x v="2"/>
    <x v="3"/>
    <x v="0"/>
    <n v="50.330000000000013"/>
    <x v="5"/>
    <n v="2025"/>
    <s v="Low Sales"/>
  </r>
  <r>
    <s v="C5607"/>
    <x v="2"/>
    <d v="2023-02-17T00:00:00"/>
    <n v="5"/>
    <n v="181.92"/>
    <s v="Customer C5607"/>
    <x v="1"/>
    <x v="2"/>
    <x v="2"/>
    <n v="909.59999999999991"/>
    <x v="5"/>
    <n v="2023"/>
    <s v="Low Sales"/>
  </r>
  <r>
    <s v="C5448"/>
    <x v="3"/>
    <d v="2023-08-20T00:00:00"/>
    <n v="2"/>
    <n v="378.19"/>
    <s v="Customer C5448"/>
    <x v="1"/>
    <x v="1"/>
    <x v="1"/>
    <n v="756.38"/>
    <x v="4"/>
    <n v="2023"/>
    <s v="Low Sales"/>
  </r>
  <r>
    <s v="C4169"/>
    <x v="1"/>
    <d v="2024-02-27T00:00:00"/>
    <n v="5"/>
    <n v="129.16999999999999"/>
    <s v="Customer C4169"/>
    <x v="1"/>
    <x v="2"/>
    <x v="1"/>
    <n v="645.84999999999991"/>
    <x v="5"/>
    <n v="2024"/>
    <s v="Low Sales"/>
  </r>
  <r>
    <s v="C7891"/>
    <x v="0"/>
    <d v="2023-04-08T00:00:00"/>
    <n v="4"/>
    <n v="62.34"/>
    <s v="Customer C7891"/>
    <x v="2"/>
    <x v="1"/>
    <x v="2"/>
    <n v="249.36"/>
    <x v="3"/>
    <n v="2023"/>
    <s v="Low Sales"/>
  </r>
  <r>
    <s v="C8247"/>
    <x v="6"/>
    <d v="2025-05-08T00:00:00"/>
    <n v="7"/>
    <n v="497.8"/>
    <s v="Customer C8247"/>
    <x v="1"/>
    <x v="1"/>
    <x v="4"/>
    <n v="3484.6"/>
    <x v="10"/>
    <n v="2025"/>
    <s v="High Sales"/>
  </r>
  <r>
    <s v="C8392"/>
    <x v="4"/>
    <d v="2024-05-21T00:00:00"/>
    <n v="7"/>
    <n v="736.95"/>
    <s v="Customer C8392"/>
    <x v="0"/>
    <x v="2"/>
    <x v="4"/>
    <n v="5158.6500000000005"/>
    <x v="10"/>
    <n v="2024"/>
    <s v="High Sales"/>
  </r>
  <r>
    <s v="C8117"/>
    <x v="3"/>
    <d v="2023-10-18T00:00:00"/>
    <n v="1"/>
    <n v="107.67"/>
    <s v="Customer C8117"/>
    <x v="1"/>
    <x v="3"/>
    <x v="4"/>
    <n v="107.67"/>
    <x v="9"/>
    <n v="2023"/>
    <s v="Low Sales"/>
  </r>
  <r>
    <s v="C2777"/>
    <x v="6"/>
    <d v="2023-11-03T00:00:00"/>
    <n v="1"/>
    <n v="192.81"/>
    <s v="Customer C2777"/>
    <x v="2"/>
    <x v="2"/>
    <x v="2"/>
    <n v="192.81"/>
    <x v="7"/>
    <n v="2023"/>
    <s v="Low Sales"/>
  </r>
  <r>
    <s v="C4384"/>
    <x v="3"/>
    <d v="2024-01-15T00:00:00"/>
    <n v="4"/>
    <n v="671.79"/>
    <s v="Customer C4384"/>
    <x v="1"/>
    <x v="2"/>
    <x v="2"/>
    <n v="2687.16"/>
    <x v="6"/>
    <n v="2024"/>
    <s v="High Sales"/>
  </r>
  <r>
    <s v="C7855"/>
    <x v="2"/>
    <d v="2023-03-19T00:00:00"/>
    <n v="6"/>
    <n v="425.92"/>
    <s v="Customer C7855"/>
    <x v="2"/>
    <x v="3"/>
    <x v="0"/>
    <n v="2555.52"/>
    <x v="0"/>
    <n v="2023"/>
    <s v="High Sales"/>
  </r>
  <r>
    <s v="C3463"/>
    <x v="5"/>
    <d v="2023-05-04T00:00:00"/>
    <n v="2"/>
    <n v="264.97000000000003"/>
    <s v="Customer C3463"/>
    <x v="0"/>
    <x v="1"/>
    <x v="2"/>
    <n v="529.94000000000005"/>
    <x v="10"/>
    <n v="2023"/>
    <s v="Low Sales"/>
  </r>
  <r>
    <s v="C6550"/>
    <x v="5"/>
    <d v="2023-05-06T00:00:00"/>
    <n v="1"/>
    <n v="122.06"/>
    <s v="Customer C6550"/>
    <x v="1"/>
    <x v="3"/>
    <x v="2"/>
    <n v="122.06"/>
    <x v="10"/>
    <n v="2023"/>
    <s v="Low Sales"/>
  </r>
  <r>
    <s v="C9356"/>
    <x v="0"/>
    <d v="2023-12-20T00:00:00"/>
    <n v="1"/>
    <n v="572.04999999999995"/>
    <s v="Customer C9356"/>
    <x v="1"/>
    <x v="0"/>
    <x v="2"/>
    <n v="572.04999999999995"/>
    <x v="8"/>
    <n v="2023"/>
    <s v="Low Sales"/>
  </r>
  <r>
    <s v="C5435"/>
    <x v="2"/>
    <d v="2023-05-27T00:00:00"/>
    <n v="5"/>
    <n v="298.95"/>
    <s v="Customer C5435"/>
    <x v="1"/>
    <x v="0"/>
    <x v="4"/>
    <n v="1494.75"/>
    <x v="10"/>
    <n v="2023"/>
    <s v="Low Sales"/>
  </r>
  <r>
    <s v="C7532"/>
    <x v="6"/>
    <d v="2023-03-20T00:00:00"/>
    <n v="5"/>
    <n v="534.75"/>
    <s v="Customer C7532"/>
    <x v="0"/>
    <x v="3"/>
    <x v="4"/>
    <n v="2673.75"/>
    <x v="0"/>
    <n v="2023"/>
    <s v="High Sales"/>
  </r>
  <r>
    <s v="C1717"/>
    <x v="3"/>
    <d v="2023-06-26T00:00:00"/>
    <n v="7"/>
    <n v="367.19"/>
    <s v="Customer C1717"/>
    <x v="2"/>
    <x v="0"/>
    <x v="2"/>
    <n v="2570.33"/>
    <x v="1"/>
    <n v="2023"/>
    <s v="High Sales"/>
  </r>
  <r>
    <s v="C9767"/>
    <x v="5"/>
    <d v="2024-07-04T00:00:00"/>
    <n v="5"/>
    <n v="121.55"/>
    <s v="Customer C9767"/>
    <x v="0"/>
    <x v="1"/>
    <x v="0"/>
    <n v="607.75"/>
    <x v="11"/>
    <n v="2024"/>
    <s v="Low Sales"/>
  </r>
  <r>
    <s v="C2564"/>
    <x v="2"/>
    <d v="2024-10-01T00:00:00"/>
    <n v="4"/>
    <n v="406.85"/>
    <s v="Customer C2564"/>
    <x v="2"/>
    <x v="2"/>
    <x v="4"/>
    <n v="1627.4"/>
    <x v="9"/>
    <n v="2024"/>
    <s v="Low Sales"/>
  </r>
  <r>
    <s v="C9901"/>
    <x v="3"/>
    <d v="2025-04-28T00:00:00"/>
    <n v="4"/>
    <n v="307.95999999999998"/>
    <s v="Customer C9901"/>
    <x v="1"/>
    <x v="4"/>
    <x v="0"/>
    <n v="1231.8399999999999"/>
    <x v="3"/>
    <n v="2025"/>
    <s v="Low Sales"/>
  </r>
  <r>
    <s v="C2101"/>
    <x v="5"/>
    <d v="2024-03-25T00:00:00"/>
    <n v="6"/>
    <n v="168.05"/>
    <s v="Customer C2101"/>
    <x v="0"/>
    <x v="1"/>
    <x v="2"/>
    <n v="1008.3"/>
    <x v="0"/>
    <n v="2024"/>
    <s v="Low Sales"/>
  </r>
  <r>
    <s v="C9814"/>
    <x v="4"/>
    <d v="2023-01-27T00:00:00"/>
    <n v="8"/>
    <n v="686.94"/>
    <s v="Customer C9814"/>
    <x v="0"/>
    <x v="1"/>
    <x v="0"/>
    <n v="5495.52"/>
    <x v="6"/>
    <n v="2023"/>
    <s v="High Sales"/>
  </r>
  <r>
    <s v="C5003"/>
    <x v="1"/>
    <d v="2023-07-31T00:00:00"/>
    <n v="3"/>
    <n v="621.01"/>
    <s v="Customer C5003"/>
    <x v="1"/>
    <x v="4"/>
    <x v="1"/>
    <n v="1863.03"/>
    <x v="11"/>
    <n v="2023"/>
    <s v="Low Sales"/>
  </r>
  <r>
    <s v="C6675"/>
    <x v="6"/>
    <d v="2023-11-22T00:00:00"/>
    <n v="5"/>
    <n v="15.54"/>
    <s v="Customer C6675"/>
    <x v="1"/>
    <x v="4"/>
    <x v="4"/>
    <n v="77.699999999999989"/>
    <x v="7"/>
    <n v="2023"/>
    <s v="Low Sales"/>
  </r>
  <r>
    <s v="C2195"/>
    <x v="5"/>
    <d v="2025-01-04T00:00:00"/>
    <n v="2"/>
    <n v="728.1"/>
    <s v="Customer C2195"/>
    <x v="0"/>
    <x v="1"/>
    <x v="4"/>
    <n v="1456.2"/>
    <x v="6"/>
    <n v="2025"/>
    <s v="Low Sales"/>
  </r>
  <r>
    <s v="C6181"/>
    <x v="2"/>
    <d v="2023-08-13T00:00:00"/>
    <n v="4"/>
    <n v="277"/>
    <s v="Customer C6181"/>
    <x v="1"/>
    <x v="4"/>
    <x v="2"/>
    <n v="1108"/>
    <x v="4"/>
    <n v="2023"/>
    <s v="Low Sales"/>
  </r>
  <r>
    <s v="C2109"/>
    <x v="2"/>
    <d v="2024-07-22T00:00:00"/>
    <n v="1"/>
    <n v="638.11"/>
    <s v="Customer C2109"/>
    <x v="1"/>
    <x v="0"/>
    <x v="0"/>
    <n v="638.11"/>
    <x v="11"/>
    <n v="2024"/>
    <s v="Low Sales"/>
  </r>
  <r>
    <s v="C2718"/>
    <x v="0"/>
    <d v="2024-06-08T00:00:00"/>
    <n v="7"/>
    <n v="60.21"/>
    <s v="Customer C2718"/>
    <x v="2"/>
    <x v="0"/>
    <x v="1"/>
    <n v="421.47"/>
    <x v="1"/>
    <n v="2024"/>
    <s v="Low Sales"/>
  </r>
  <r>
    <s v="C8088"/>
    <x v="4"/>
    <d v="2025-02-16T00:00:00"/>
    <n v="7"/>
    <n v="653.16999999999996"/>
    <s v="Customer C8088"/>
    <x v="2"/>
    <x v="3"/>
    <x v="2"/>
    <n v="4572.1899999999996"/>
    <x v="5"/>
    <n v="2025"/>
    <s v="High Sales"/>
  </r>
  <r>
    <s v="C6918"/>
    <x v="2"/>
    <d v="2023-08-22T00:00:00"/>
    <n v="1"/>
    <n v="521.99"/>
    <s v="Customer C6918"/>
    <x v="2"/>
    <x v="2"/>
    <x v="4"/>
    <n v="521.99"/>
    <x v="4"/>
    <n v="2023"/>
    <s v="Low Sales"/>
  </r>
  <r>
    <s v="C3400"/>
    <x v="5"/>
    <d v="2023-03-21T00:00:00"/>
    <n v="7"/>
    <n v="432.68"/>
    <s v="Customer C3400"/>
    <x v="2"/>
    <x v="2"/>
    <x v="2"/>
    <n v="3028.76"/>
    <x v="0"/>
    <n v="2023"/>
    <s v="High Sales"/>
  </r>
  <r>
    <s v="C2782"/>
    <x v="0"/>
    <d v="2023-07-05T00:00:00"/>
    <n v="5"/>
    <n v="761.72"/>
    <s v="Customer C2782"/>
    <x v="1"/>
    <x v="2"/>
    <x v="2"/>
    <n v="3808.6"/>
    <x v="11"/>
    <n v="2023"/>
    <s v="High Sales"/>
  </r>
  <r>
    <s v="C4103"/>
    <x v="6"/>
    <d v="2024-12-18T00:00:00"/>
    <n v="2"/>
    <n v="397.68"/>
    <s v="Customer C4103"/>
    <x v="0"/>
    <x v="4"/>
    <x v="0"/>
    <n v="795.36"/>
    <x v="8"/>
    <n v="2024"/>
    <s v="Low Sales"/>
  </r>
  <r>
    <s v="C7183"/>
    <x v="1"/>
    <d v="2023-09-30T00:00:00"/>
    <n v="4"/>
    <n v="56.84"/>
    <s v="Customer C7183"/>
    <x v="1"/>
    <x v="1"/>
    <x v="2"/>
    <n v="227.36"/>
    <x v="2"/>
    <n v="2023"/>
    <s v="Low Sales"/>
  </r>
  <r>
    <s v="C1844"/>
    <x v="6"/>
    <d v="2025-02-09T00:00:00"/>
    <n v="8"/>
    <n v="53.9"/>
    <s v="Customer C1844"/>
    <x v="0"/>
    <x v="4"/>
    <x v="2"/>
    <n v="431.2"/>
    <x v="5"/>
    <n v="2025"/>
    <s v="Low Sales"/>
  </r>
  <r>
    <s v="C2326"/>
    <x v="6"/>
    <d v="2024-05-06T00:00:00"/>
    <n v="6"/>
    <n v="539.32000000000005"/>
    <s v="Customer C2326"/>
    <x v="1"/>
    <x v="0"/>
    <x v="2"/>
    <n v="3235.92"/>
    <x v="10"/>
    <n v="2024"/>
    <s v="High Sales"/>
  </r>
  <r>
    <s v="C9916"/>
    <x v="1"/>
    <d v="2024-05-25T00:00:00"/>
    <n v="2"/>
    <n v="58.29"/>
    <s v="Customer C9916"/>
    <x v="1"/>
    <x v="0"/>
    <x v="1"/>
    <n v="116.58"/>
    <x v="10"/>
    <n v="2024"/>
    <s v="Low Sales"/>
  </r>
  <r>
    <s v="C3205"/>
    <x v="2"/>
    <d v="2023-11-19T00:00:00"/>
    <n v="2"/>
    <n v="616.6"/>
    <s v="Customer C3205"/>
    <x v="0"/>
    <x v="2"/>
    <x v="4"/>
    <n v="1233.2"/>
    <x v="7"/>
    <n v="2023"/>
    <s v="Low Sales"/>
  </r>
  <r>
    <s v="C4222"/>
    <x v="1"/>
    <d v="2024-07-23T00:00:00"/>
    <n v="1"/>
    <n v="562.4"/>
    <s v="Customer C4222"/>
    <x v="2"/>
    <x v="1"/>
    <x v="4"/>
    <n v="562.4"/>
    <x v="11"/>
    <n v="2024"/>
    <s v="Low Sales"/>
  </r>
  <r>
    <s v="C1661"/>
    <x v="0"/>
    <d v="2025-02-01T00:00:00"/>
    <n v="5"/>
    <n v="575.52"/>
    <s v="Customer C1661"/>
    <x v="1"/>
    <x v="4"/>
    <x v="0"/>
    <n v="2877.6"/>
    <x v="5"/>
    <n v="2025"/>
    <s v="High Sales"/>
  </r>
  <r>
    <s v="C6781"/>
    <x v="0"/>
    <d v="2025-02-18T00:00:00"/>
    <n v="5"/>
    <n v="339.15"/>
    <s v="Customer C6781"/>
    <x v="1"/>
    <x v="2"/>
    <x v="3"/>
    <n v="1695.75"/>
    <x v="5"/>
    <n v="2025"/>
    <s v="Low Sales"/>
  </r>
  <r>
    <s v="C4770"/>
    <x v="6"/>
    <d v="2023-06-13T00:00:00"/>
    <n v="1"/>
    <n v="506.82"/>
    <s v="Customer C4770"/>
    <x v="1"/>
    <x v="0"/>
    <x v="1"/>
    <n v="506.82"/>
    <x v="1"/>
    <n v="2023"/>
    <s v="Low Sales"/>
  </r>
  <r>
    <s v="C4338"/>
    <x v="0"/>
    <d v="2023-05-20T00:00:00"/>
    <n v="1"/>
    <n v="56.35"/>
    <s v="Customer C4338"/>
    <x v="0"/>
    <x v="2"/>
    <x v="1"/>
    <n v="56.35"/>
    <x v="10"/>
    <n v="2023"/>
    <s v="Low Sales"/>
  </r>
  <r>
    <s v="C5170"/>
    <x v="0"/>
    <d v="2023-05-20T00:00:00"/>
    <n v="5"/>
    <n v="77.42"/>
    <s v="Customer C5170"/>
    <x v="1"/>
    <x v="0"/>
    <x v="1"/>
    <n v="387.1"/>
    <x v="10"/>
    <n v="2023"/>
    <s v="Low Sales"/>
  </r>
  <r>
    <s v="C5855"/>
    <x v="6"/>
    <d v="2024-12-14T00:00:00"/>
    <n v="3"/>
    <n v="117.3"/>
    <s v="Customer C5855"/>
    <x v="1"/>
    <x v="1"/>
    <x v="0"/>
    <n v="351.9"/>
    <x v="8"/>
    <n v="2024"/>
    <s v="Low Sales"/>
  </r>
  <r>
    <s v="C3417"/>
    <x v="6"/>
    <d v="2024-03-17T00:00:00"/>
    <n v="1"/>
    <n v="362.89"/>
    <s v="Customer C3417"/>
    <x v="1"/>
    <x v="1"/>
    <x v="2"/>
    <n v="362.89"/>
    <x v="0"/>
    <n v="2024"/>
    <s v="Low Sales"/>
  </r>
  <r>
    <s v="C4720"/>
    <x v="6"/>
    <d v="2023-07-12T00:00:00"/>
    <n v="1"/>
    <n v="50.18"/>
    <s v="Customer C4720"/>
    <x v="2"/>
    <x v="2"/>
    <x v="1"/>
    <n v="50.18"/>
    <x v="11"/>
    <n v="2023"/>
    <s v="Low Sales"/>
  </r>
  <r>
    <s v="C6723"/>
    <x v="3"/>
    <d v="2024-11-01T00:00:00"/>
    <n v="3"/>
    <n v="85.35"/>
    <s v="Customer C6723"/>
    <x v="0"/>
    <x v="4"/>
    <x v="4"/>
    <n v="256.05"/>
    <x v="7"/>
    <n v="2024"/>
    <s v="Low Sales"/>
  </r>
  <r>
    <s v="C8590"/>
    <x v="4"/>
    <d v="2023-08-30T00:00:00"/>
    <n v="7"/>
    <n v="425.05"/>
    <s v="Customer C8590"/>
    <x v="1"/>
    <x v="0"/>
    <x v="3"/>
    <n v="2975.35"/>
    <x v="4"/>
    <n v="2023"/>
    <s v="High Sales"/>
  </r>
  <r>
    <s v="C1337"/>
    <x v="1"/>
    <d v="2024-05-26T00:00:00"/>
    <n v="6"/>
    <n v="420.68"/>
    <s v="Customer C1337"/>
    <x v="1"/>
    <x v="4"/>
    <x v="2"/>
    <n v="2524.08"/>
    <x v="10"/>
    <n v="2024"/>
    <s v="High Sales"/>
  </r>
  <r>
    <s v="C6921"/>
    <x v="0"/>
    <d v="2024-01-22T00:00:00"/>
    <n v="4"/>
    <n v="657.75"/>
    <s v="Customer C6921"/>
    <x v="1"/>
    <x v="2"/>
    <x v="0"/>
    <n v="2631"/>
    <x v="6"/>
    <n v="2024"/>
    <s v="High Sales"/>
  </r>
  <r>
    <s v="C5612"/>
    <x v="0"/>
    <d v="2024-11-02T00:00:00"/>
    <n v="7"/>
    <n v="404.89"/>
    <s v="Customer C5612"/>
    <x v="0"/>
    <x v="3"/>
    <x v="4"/>
    <n v="2834.23"/>
    <x v="7"/>
    <n v="2024"/>
    <s v="High Sales"/>
  </r>
  <r>
    <s v="C1359"/>
    <x v="2"/>
    <d v="2023-01-10T00:00:00"/>
    <n v="5"/>
    <n v="342.38"/>
    <s v="Customer C1359"/>
    <x v="0"/>
    <x v="1"/>
    <x v="0"/>
    <n v="1711.9"/>
    <x v="6"/>
    <n v="2023"/>
    <s v="Low Sales"/>
  </r>
  <r>
    <s v="C3477"/>
    <x v="3"/>
    <d v="2023-12-28T00:00:00"/>
    <n v="6"/>
    <n v="685.83"/>
    <s v="Customer C3477"/>
    <x v="2"/>
    <x v="0"/>
    <x v="1"/>
    <n v="4114.9799999999996"/>
    <x v="8"/>
    <n v="2023"/>
    <s v="High Sales"/>
  </r>
  <r>
    <s v="C7016"/>
    <x v="0"/>
    <d v="2023-12-14T00:00:00"/>
    <n v="3"/>
    <n v="49.19"/>
    <s v="Customer C7016"/>
    <x v="0"/>
    <x v="1"/>
    <x v="4"/>
    <n v="147.57"/>
    <x v="8"/>
    <n v="2023"/>
    <s v="Low Sales"/>
  </r>
  <r>
    <s v="C1619"/>
    <x v="5"/>
    <d v="2024-03-20T00:00:00"/>
    <n v="3"/>
    <n v="224.35"/>
    <s v="Customer C1619"/>
    <x v="0"/>
    <x v="2"/>
    <x v="3"/>
    <n v="673.05"/>
    <x v="0"/>
    <n v="2024"/>
    <s v="Low Sales"/>
  </r>
  <r>
    <s v="C3499"/>
    <x v="4"/>
    <d v="2024-11-30T00:00:00"/>
    <n v="1"/>
    <n v="308.3"/>
    <s v="Customer C3499"/>
    <x v="1"/>
    <x v="0"/>
    <x v="0"/>
    <n v="308.3"/>
    <x v="7"/>
    <n v="2024"/>
    <s v="Low Sales"/>
  </r>
  <r>
    <s v="C7659"/>
    <x v="1"/>
    <d v="2023-05-18T00:00:00"/>
    <n v="3"/>
    <n v="465.68"/>
    <s v="Customer C7659"/>
    <x v="1"/>
    <x v="3"/>
    <x v="3"/>
    <n v="1397.04"/>
    <x v="10"/>
    <n v="2023"/>
    <s v="Low Sales"/>
  </r>
  <r>
    <s v="C1517"/>
    <x v="5"/>
    <d v="2024-01-31T00:00:00"/>
    <n v="3"/>
    <n v="330.83"/>
    <s v="Customer C1517"/>
    <x v="0"/>
    <x v="2"/>
    <x v="2"/>
    <n v="992.49"/>
    <x v="6"/>
    <n v="2024"/>
    <s v="Low Sales"/>
  </r>
  <r>
    <s v="C6547"/>
    <x v="2"/>
    <d v="2024-08-16T00:00:00"/>
    <n v="5"/>
    <n v="388.21"/>
    <s v="Customer C6547"/>
    <x v="2"/>
    <x v="1"/>
    <x v="1"/>
    <n v="1941.05"/>
    <x v="4"/>
    <n v="2024"/>
    <s v="Low Sales"/>
  </r>
  <r>
    <s v="C9376"/>
    <x v="5"/>
    <d v="2024-08-30T00:00:00"/>
    <n v="1"/>
    <n v="757.95"/>
    <s v="Customer C9376"/>
    <x v="0"/>
    <x v="4"/>
    <x v="4"/>
    <n v="757.95"/>
    <x v="4"/>
    <n v="2024"/>
    <s v="Low Sales"/>
  </r>
  <r>
    <s v="C1156"/>
    <x v="1"/>
    <d v="2024-12-03T00:00:00"/>
    <n v="6"/>
    <n v="575.29999999999995"/>
    <s v="Customer C1156"/>
    <x v="0"/>
    <x v="2"/>
    <x v="4"/>
    <n v="3451.8"/>
    <x v="8"/>
    <n v="2024"/>
    <s v="High Sales"/>
  </r>
  <r>
    <s v="C3010"/>
    <x v="1"/>
    <d v="2025-03-30T00:00:00"/>
    <n v="6"/>
    <n v="277.83"/>
    <s v="Customer C3010"/>
    <x v="1"/>
    <x v="1"/>
    <x v="2"/>
    <n v="1666.98"/>
    <x v="0"/>
    <n v="2025"/>
    <s v="Low Sales"/>
  </r>
  <r>
    <s v="C2105"/>
    <x v="2"/>
    <d v="2023-02-16T00:00:00"/>
    <n v="4"/>
    <n v="631.44000000000005"/>
    <s v="Customer C2105"/>
    <x v="1"/>
    <x v="1"/>
    <x v="0"/>
    <n v="2525.7600000000002"/>
    <x v="5"/>
    <n v="2023"/>
    <s v="High Sales"/>
  </r>
  <r>
    <s v="C5042"/>
    <x v="1"/>
    <d v="2023-11-06T00:00:00"/>
    <n v="5"/>
    <n v="690.26"/>
    <s v="Customer C5042"/>
    <x v="2"/>
    <x v="0"/>
    <x v="4"/>
    <n v="3451.3"/>
    <x v="7"/>
    <n v="2023"/>
    <s v="High Sales"/>
  </r>
  <r>
    <s v="C1524"/>
    <x v="2"/>
    <d v="2024-08-04T00:00:00"/>
    <n v="1"/>
    <n v="659.76"/>
    <s v="Customer C1524"/>
    <x v="0"/>
    <x v="4"/>
    <x v="0"/>
    <n v="659.76"/>
    <x v="4"/>
    <n v="2024"/>
    <s v="Low Sales"/>
  </r>
  <r>
    <s v="C2867"/>
    <x v="1"/>
    <d v="2023-05-06T00:00:00"/>
    <n v="1"/>
    <n v="336.3"/>
    <s v="Customer C2867"/>
    <x v="2"/>
    <x v="4"/>
    <x v="1"/>
    <n v="336.3"/>
    <x v="10"/>
    <n v="2023"/>
    <s v="Low Sales"/>
  </r>
  <r>
    <s v="C3516"/>
    <x v="4"/>
    <d v="2025-02-28T00:00:00"/>
    <n v="5"/>
    <n v="720.71"/>
    <s v="Customer C3516"/>
    <x v="1"/>
    <x v="1"/>
    <x v="0"/>
    <n v="3603.55"/>
    <x v="5"/>
    <n v="2025"/>
    <s v="High Sales"/>
  </r>
  <r>
    <s v="C5623"/>
    <x v="0"/>
    <d v="2024-05-30T00:00:00"/>
    <n v="7"/>
    <n v="495.8"/>
    <s v="Customer C5623"/>
    <x v="1"/>
    <x v="0"/>
    <x v="4"/>
    <n v="3470.6"/>
    <x v="10"/>
    <n v="2024"/>
    <s v="High Sales"/>
  </r>
  <r>
    <s v="C8296"/>
    <x v="2"/>
    <d v="2025-01-16T00:00:00"/>
    <n v="1"/>
    <n v="283.8"/>
    <s v="Customer C8296"/>
    <x v="1"/>
    <x v="3"/>
    <x v="4"/>
    <n v="283.8"/>
    <x v="6"/>
    <n v="2025"/>
    <s v="Low Sales"/>
  </r>
  <r>
    <s v="C9251"/>
    <x v="5"/>
    <d v="2023-07-30T00:00:00"/>
    <n v="2"/>
    <n v="269.89999999999998"/>
    <s v="Customer C9251"/>
    <x v="0"/>
    <x v="1"/>
    <x v="1"/>
    <n v="539.79999999999995"/>
    <x v="11"/>
    <n v="2023"/>
    <s v="Low Sales"/>
  </r>
  <r>
    <s v="C4623"/>
    <x v="6"/>
    <d v="2024-02-20T00:00:00"/>
    <n v="1"/>
    <n v="582.02"/>
    <s v="Customer C4623"/>
    <x v="2"/>
    <x v="0"/>
    <x v="4"/>
    <n v="582.02"/>
    <x v="5"/>
    <n v="2024"/>
    <s v="Low Sales"/>
  </r>
  <r>
    <s v="C5834"/>
    <x v="2"/>
    <d v="2024-06-12T00:00:00"/>
    <n v="4"/>
    <n v="163.49"/>
    <s v="Customer C5834"/>
    <x v="2"/>
    <x v="0"/>
    <x v="4"/>
    <n v="653.96"/>
    <x v="1"/>
    <n v="2024"/>
    <s v="Low Sales"/>
  </r>
  <r>
    <s v="C8484"/>
    <x v="2"/>
    <d v="2023-07-30T00:00:00"/>
    <n v="5"/>
    <n v="501.45"/>
    <s v="Customer C8484"/>
    <x v="1"/>
    <x v="1"/>
    <x v="3"/>
    <n v="2507.25"/>
    <x v="11"/>
    <n v="2023"/>
    <s v="High Sales"/>
  </r>
  <r>
    <s v="C8496"/>
    <x v="6"/>
    <d v="2023-09-06T00:00:00"/>
    <n v="7"/>
    <n v="138.65"/>
    <s v="Customer C8496"/>
    <x v="0"/>
    <x v="0"/>
    <x v="4"/>
    <n v="970.55000000000007"/>
    <x v="2"/>
    <n v="2023"/>
    <s v="Low Sales"/>
  </r>
  <r>
    <s v="C2307"/>
    <x v="6"/>
    <d v="2025-05-13T00:00:00"/>
    <n v="7"/>
    <n v="614.28"/>
    <s v="Customer C2307"/>
    <x v="1"/>
    <x v="3"/>
    <x v="0"/>
    <n v="4299.96"/>
    <x v="10"/>
    <n v="2025"/>
    <s v="High Sales"/>
  </r>
  <r>
    <s v="C7339"/>
    <x v="0"/>
    <d v="2023-04-02T00:00:00"/>
    <n v="6"/>
    <n v="294.38"/>
    <s v="Customer C7339"/>
    <x v="2"/>
    <x v="1"/>
    <x v="0"/>
    <n v="1766.28"/>
    <x v="3"/>
    <n v="2023"/>
    <s v="Low Sales"/>
  </r>
  <r>
    <s v="C3501"/>
    <x v="1"/>
    <d v="2024-11-23T00:00:00"/>
    <n v="5"/>
    <n v="505.66"/>
    <s v="Customer C3501"/>
    <x v="2"/>
    <x v="4"/>
    <x v="1"/>
    <n v="2528.3000000000002"/>
    <x v="7"/>
    <n v="2024"/>
    <s v="High Sales"/>
  </r>
  <r>
    <s v="C6288"/>
    <x v="6"/>
    <d v="2024-09-15T00:00:00"/>
    <n v="1"/>
    <n v="554.09"/>
    <s v="Customer C6288"/>
    <x v="2"/>
    <x v="0"/>
    <x v="0"/>
    <n v="554.09"/>
    <x v="2"/>
    <n v="2024"/>
    <s v="Low Sales"/>
  </r>
  <r>
    <s v="C1886"/>
    <x v="6"/>
    <d v="2025-06-29T00:00:00"/>
    <n v="8"/>
    <n v="387.55"/>
    <s v="Customer C1886"/>
    <x v="2"/>
    <x v="3"/>
    <x v="0"/>
    <n v="3100.4"/>
    <x v="1"/>
    <n v="2025"/>
    <s v="High Sales"/>
  </r>
  <r>
    <s v="C5314"/>
    <x v="2"/>
    <d v="2024-01-12T00:00:00"/>
    <n v="8"/>
    <n v="398.03"/>
    <s v="Customer C5314"/>
    <x v="0"/>
    <x v="3"/>
    <x v="2"/>
    <n v="3184.24"/>
    <x v="6"/>
    <n v="2024"/>
    <s v="High Sales"/>
  </r>
  <r>
    <s v="C9222"/>
    <x v="3"/>
    <d v="2024-04-18T00:00:00"/>
    <n v="5"/>
    <n v="668.28"/>
    <s v="Customer C9222"/>
    <x v="1"/>
    <x v="2"/>
    <x v="0"/>
    <n v="3341.4"/>
    <x v="3"/>
    <n v="2024"/>
    <s v="High Sales"/>
  </r>
  <r>
    <s v="C1267"/>
    <x v="0"/>
    <d v="2023-12-20T00:00:00"/>
    <n v="5"/>
    <n v="300.8"/>
    <s v="Customer C1267"/>
    <x v="2"/>
    <x v="3"/>
    <x v="1"/>
    <n v="1504"/>
    <x v="8"/>
    <n v="2023"/>
    <s v="Low Sales"/>
  </r>
  <r>
    <s v="C3026"/>
    <x v="5"/>
    <d v="2024-04-25T00:00:00"/>
    <n v="1"/>
    <n v="256.49"/>
    <s v="Customer C3026"/>
    <x v="1"/>
    <x v="0"/>
    <x v="0"/>
    <n v="256.49"/>
    <x v="3"/>
    <n v="2024"/>
    <s v="Low Sales"/>
  </r>
  <r>
    <s v="C7333"/>
    <x v="1"/>
    <d v="2025-06-28T00:00:00"/>
    <n v="5"/>
    <n v="748.08"/>
    <s v="Customer C7333"/>
    <x v="1"/>
    <x v="3"/>
    <x v="4"/>
    <n v="3740.4"/>
    <x v="1"/>
    <n v="2025"/>
    <s v="High Sales"/>
  </r>
  <r>
    <s v="C3509"/>
    <x v="0"/>
    <d v="2023-10-07T00:00:00"/>
    <n v="1"/>
    <n v="86.51"/>
    <s v="Customer C3509"/>
    <x v="2"/>
    <x v="3"/>
    <x v="3"/>
    <n v="86.51"/>
    <x v="9"/>
    <n v="2023"/>
    <s v="Low Sales"/>
  </r>
  <r>
    <s v="C6408"/>
    <x v="0"/>
    <d v="2023-05-01T00:00:00"/>
    <n v="6"/>
    <n v="583.1"/>
    <s v="Customer C6408"/>
    <x v="2"/>
    <x v="3"/>
    <x v="0"/>
    <n v="3498.6"/>
    <x v="10"/>
    <n v="2023"/>
    <s v="High Sales"/>
  </r>
  <r>
    <s v="C5338"/>
    <x v="3"/>
    <d v="2025-06-11T00:00:00"/>
    <n v="6"/>
    <n v="575.12"/>
    <s v="Customer C5338"/>
    <x v="1"/>
    <x v="3"/>
    <x v="4"/>
    <n v="3450.72"/>
    <x v="1"/>
    <n v="2025"/>
    <s v="High Sales"/>
  </r>
  <r>
    <s v="C8946"/>
    <x v="1"/>
    <d v="2023-06-21T00:00:00"/>
    <n v="2"/>
    <n v="729.99"/>
    <s v="Customer C8946"/>
    <x v="1"/>
    <x v="2"/>
    <x v="3"/>
    <n v="1459.98"/>
    <x v="1"/>
    <n v="2023"/>
    <s v="Low Sales"/>
  </r>
  <r>
    <s v="C9324"/>
    <x v="4"/>
    <d v="2023-02-04T00:00:00"/>
    <n v="2"/>
    <n v="344.21"/>
    <s v="Customer C9324"/>
    <x v="2"/>
    <x v="2"/>
    <x v="2"/>
    <n v="688.42"/>
    <x v="5"/>
    <n v="2023"/>
    <s v="Low Sales"/>
  </r>
  <r>
    <s v="C6174"/>
    <x v="0"/>
    <d v="2025-05-16T00:00:00"/>
    <n v="6"/>
    <n v="574.24"/>
    <s v="Customer C6174"/>
    <x v="0"/>
    <x v="4"/>
    <x v="1"/>
    <n v="3445.44"/>
    <x v="10"/>
    <n v="2025"/>
    <s v="High Sales"/>
  </r>
  <r>
    <s v="C4515"/>
    <x v="1"/>
    <d v="2023-02-04T00:00:00"/>
    <n v="4"/>
    <n v="749"/>
    <s v="Customer C4515"/>
    <x v="2"/>
    <x v="4"/>
    <x v="1"/>
    <n v="2996"/>
    <x v="5"/>
    <n v="2023"/>
    <s v="High Sales"/>
  </r>
  <r>
    <s v="C7210"/>
    <x v="4"/>
    <d v="2025-01-23T00:00:00"/>
    <n v="7"/>
    <n v="234.13"/>
    <s v="Customer C7210"/>
    <x v="0"/>
    <x v="0"/>
    <x v="1"/>
    <n v="1638.91"/>
    <x v="6"/>
    <n v="2025"/>
    <s v="Low Sales"/>
  </r>
  <r>
    <s v="C9176"/>
    <x v="2"/>
    <d v="2025-03-01T00:00:00"/>
    <n v="6"/>
    <n v="439.69"/>
    <s v="Customer C9176"/>
    <x v="0"/>
    <x v="3"/>
    <x v="3"/>
    <n v="2638.14"/>
    <x v="0"/>
    <n v="2025"/>
    <s v="High Sales"/>
  </r>
  <r>
    <s v="C3979"/>
    <x v="4"/>
    <d v="2024-02-20T00:00:00"/>
    <n v="5"/>
    <n v="691.17"/>
    <s v="Customer C3979"/>
    <x v="2"/>
    <x v="1"/>
    <x v="2"/>
    <n v="3455.85"/>
    <x v="5"/>
    <n v="2024"/>
    <s v="High Sales"/>
  </r>
  <r>
    <s v="C3254"/>
    <x v="5"/>
    <d v="2023-05-23T00:00:00"/>
    <n v="6"/>
    <n v="639.59"/>
    <s v="Customer C3254"/>
    <x v="1"/>
    <x v="2"/>
    <x v="3"/>
    <n v="3837.54"/>
    <x v="10"/>
    <n v="2023"/>
    <s v="High Sales"/>
  </r>
  <r>
    <s v="C4315"/>
    <x v="4"/>
    <d v="2024-05-16T00:00:00"/>
    <n v="3"/>
    <n v="436.88"/>
    <s v="Customer C4315"/>
    <x v="0"/>
    <x v="4"/>
    <x v="2"/>
    <n v="1310.6400000000001"/>
    <x v="10"/>
    <n v="2024"/>
    <s v="Low Sales"/>
  </r>
  <r>
    <s v="C9709"/>
    <x v="6"/>
    <d v="2024-12-17T00:00:00"/>
    <n v="4"/>
    <n v="360.14"/>
    <s v="Customer C9709"/>
    <x v="1"/>
    <x v="3"/>
    <x v="2"/>
    <n v="1440.56"/>
    <x v="8"/>
    <n v="2024"/>
    <s v="Low Sales"/>
  </r>
  <r>
    <s v="C8780"/>
    <x v="4"/>
    <d v="2023-03-10T00:00:00"/>
    <n v="8"/>
    <n v="349.84"/>
    <s v="Customer C8780"/>
    <x v="1"/>
    <x v="4"/>
    <x v="2"/>
    <n v="2798.72"/>
    <x v="0"/>
    <n v="2023"/>
    <s v="High Sales"/>
  </r>
  <r>
    <s v="C4962"/>
    <x v="3"/>
    <d v="2023-02-27T00:00:00"/>
    <n v="6"/>
    <n v="485.46"/>
    <s v="Customer C4962"/>
    <x v="2"/>
    <x v="2"/>
    <x v="3"/>
    <n v="2912.76"/>
    <x v="5"/>
    <n v="2023"/>
    <s v="High Sales"/>
  </r>
  <r>
    <s v="C5041"/>
    <x v="6"/>
    <d v="2024-05-12T00:00:00"/>
    <n v="1"/>
    <n v="388.83"/>
    <s v="Customer C5041"/>
    <x v="2"/>
    <x v="4"/>
    <x v="0"/>
    <n v="388.83"/>
    <x v="10"/>
    <n v="2024"/>
    <s v="Low Sales"/>
  </r>
  <r>
    <s v="C3726"/>
    <x v="0"/>
    <d v="2024-05-03T00:00:00"/>
    <n v="7"/>
    <n v="337.95"/>
    <s v="Customer C3726"/>
    <x v="0"/>
    <x v="4"/>
    <x v="3"/>
    <n v="2365.65"/>
    <x v="10"/>
    <n v="2024"/>
    <s v="High Sales"/>
  </r>
  <r>
    <s v="C9307"/>
    <x v="6"/>
    <d v="2024-04-24T00:00:00"/>
    <n v="3"/>
    <n v="560.63"/>
    <s v="Customer C9307"/>
    <x v="0"/>
    <x v="1"/>
    <x v="1"/>
    <n v="1681.89"/>
    <x v="3"/>
    <n v="2024"/>
    <s v="Low Sales"/>
  </r>
  <r>
    <s v="C3536"/>
    <x v="3"/>
    <d v="2023-01-15T00:00:00"/>
    <n v="1"/>
    <n v="458.55"/>
    <s v="Customer C3536"/>
    <x v="0"/>
    <x v="1"/>
    <x v="2"/>
    <n v="458.55"/>
    <x v="6"/>
    <n v="2023"/>
    <s v="Low Sales"/>
  </r>
  <r>
    <s v="C7027"/>
    <x v="1"/>
    <d v="2024-12-13T00:00:00"/>
    <n v="2"/>
    <n v="155.1"/>
    <s v="Customer C7027"/>
    <x v="0"/>
    <x v="1"/>
    <x v="0"/>
    <n v="310.2"/>
    <x v="8"/>
    <n v="2024"/>
    <s v="Low Sales"/>
  </r>
  <r>
    <s v="C5469"/>
    <x v="0"/>
    <d v="2023-10-15T00:00:00"/>
    <n v="2"/>
    <n v="204.21"/>
    <s v="Customer C5469"/>
    <x v="0"/>
    <x v="1"/>
    <x v="1"/>
    <n v="408.42"/>
    <x v="9"/>
    <n v="2023"/>
    <s v="Low Sales"/>
  </r>
  <r>
    <s v="C9904"/>
    <x v="6"/>
    <d v="2023-12-22T00:00:00"/>
    <n v="4"/>
    <n v="710.91"/>
    <s v="Customer C9904"/>
    <x v="1"/>
    <x v="4"/>
    <x v="4"/>
    <n v="2843.64"/>
    <x v="8"/>
    <n v="2023"/>
    <s v="High Sales"/>
  </r>
  <r>
    <s v="C2792"/>
    <x v="3"/>
    <d v="2024-06-30T00:00:00"/>
    <n v="5"/>
    <n v="796.69"/>
    <s v="Customer C2792"/>
    <x v="0"/>
    <x v="0"/>
    <x v="4"/>
    <n v="3983.45"/>
    <x v="1"/>
    <n v="2024"/>
    <s v="High Sales"/>
  </r>
  <r>
    <s v="C5083"/>
    <x v="0"/>
    <d v="2024-04-01T00:00:00"/>
    <n v="6"/>
    <n v="399.93"/>
    <s v="Customer C5083"/>
    <x v="1"/>
    <x v="3"/>
    <x v="0"/>
    <n v="2399.58"/>
    <x v="3"/>
    <n v="2024"/>
    <s v="High Sales"/>
  </r>
  <r>
    <s v="C8228"/>
    <x v="5"/>
    <d v="2024-04-05T00:00:00"/>
    <n v="7"/>
    <n v="27.49"/>
    <s v="Customer C8228"/>
    <x v="0"/>
    <x v="1"/>
    <x v="0"/>
    <n v="192.43"/>
    <x v="3"/>
    <n v="2024"/>
    <s v="Low Sales"/>
  </r>
  <r>
    <s v="C3842"/>
    <x v="6"/>
    <d v="2023-03-31T00:00:00"/>
    <n v="3"/>
    <n v="33.21"/>
    <s v="Customer C3842"/>
    <x v="2"/>
    <x v="4"/>
    <x v="0"/>
    <n v="99.63"/>
    <x v="0"/>
    <n v="2023"/>
    <s v="Low Sales"/>
  </r>
  <r>
    <s v="C2225"/>
    <x v="1"/>
    <d v="2023-05-06T00:00:00"/>
    <n v="7"/>
    <n v="763.93"/>
    <s v="Customer C2225"/>
    <x v="0"/>
    <x v="3"/>
    <x v="1"/>
    <n v="5347.5099999999993"/>
    <x v="10"/>
    <n v="2023"/>
    <s v="High Sales"/>
  </r>
  <r>
    <s v="C3312"/>
    <x v="6"/>
    <d v="2024-12-09T00:00:00"/>
    <n v="7"/>
    <n v="733.48"/>
    <s v="Customer C3312"/>
    <x v="0"/>
    <x v="3"/>
    <x v="1"/>
    <n v="5134.3600000000006"/>
    <x v="8"/>
    <n v="2024"/>
    <s v="High Sales"/>
  </r>
  <r>
    <s v="C2565"/>
    <x v="5"/>
    <d v="2024-08-25T00:00:00"/>
    <n v="5"/>
    <n v="773.35"/>
    <s v="Customer C2565"/>
    <x v="0"/>
    <x v="3"/>
    <x v="2"/>
    <n v="3866.75"/>
    <x v="4"/>
    <n v="2024"/>
    <s v="High Sales"/>
  </r>
  <r>
    <s v="C9275"/>
    <x v="6"/>
    <d v="2024-04-01T00:00:00"/>
    <n v="7"/>
    <n v="566.09"/>
    <s v="Customer C9275"/>
    <x v="1"/>
    <x v="0"/>
    <x v="1"/>
    <n v="3962.63"/>
    <x v="3"/>
    <n v="2024"/>
    <s v="High Sales"/>
  </r>
  <r>
    <s v="C8571"/>
    <x v="1"/>
    <d v="2025-01-24T00:00:00"/>
    <n v="2"/>
    <n v="524"/>
    <s v="Customer C8571"/>
    <x v="2"/>
    <x v="0"/>
    <x v="0"/>
    <n v="1048"/>
    <x v="6"/>
    <n v="2025"/>
    <s v="Low Sales"/>
  </r>
  <r>
    <s v="C6744"/>
    <x v="2"/>
    <d v="2024-10-12T00:00:00"/>
    <n v="1"/>
    <n v="102.17"/>
    <s v="Customer C6744"/>
    <x v="2"/>
    <x v="0"/>
    <x v="4"/>
    <n v="102.17"/>
    <x v="9"/>
    <n v="2024"/>
    <s v="Low Sales"/>
  </r>
  <r>
    <s v="C5171"/>
    <x v="1"/>
    <d v="2024-11-23T00:00:00"/>
    <n v="1"/>
    <n v="47.97"/>
    <s v="Customer C5171"/>
    <x v="0"/>
    <x v="0"/>
    <x v="2"/>
    <n v="47.97"/>
    <x v="7"/>
    <n v="2024"/>
    <s v="Low Sales"/>
  </r>
  <r>
    <s v="C8694"/>
    <x v="6"/>
    <d v="2023-07-01T00:00:00"/>
    <n v="6"/>
    <n v="394.83"/>
    <s v="Customer C8694"/>
    <x v="2"/>
    <x v="2"/>
    <x v="1"/>
    <n v="2368.98"/>
    <x v="11"/>
    <n v="2023"/>
    <s v="High Sales"/>
  </r>
  <r>
    <s v="C5385"/>
    <x v="1"/>
    <d v="2023-11-18T00:00:00"/>
    <n v="8"/>
    <n v="427.09"/>
    <s v="Customer C5385"/>
    <x v="0"/>
    <x v="2"/>
    <x v="0"/>
    <n v="3416.72"/>
    <x v="7"/>
    <n v="2023"/>
    <s v="High Sales"/>
  </r>
  <r>
    <s v="C3690"/>
    <x v="2"/>
    <d v="2023-02-27T00:00:00"/>
    <n v="5"/>
    <n v="127.45"/>
    <s v="Customer C3690"/>
    <x v="0"/>
    <x v="2"/>
    <x v="2"/>
    <n v="637.25"/>
    <x v="5"/>
    <n v="2023"/>
    <s v="Low Sales"/>
  </r>
  <r>
    <s v="C5934"/>
    <x v="6"/>
    <d v="2024-12-26T00:00:00"/>
    <n v="4"/>
    <n v="653.41"/>
    <s v="Customer C5934"/>
    <x v="1"/>
    <x v="4"/>
    <x v="0"/>
    <n v="2613.64"/>
    <x v="8"/>
    <n v="2024"/>
    <s v="High Sales"/>
  </r>
  <r>
    <s v="C4818"/>
    <x v="0"/>
    <d v="2023-11-03T00:00:00"/>
    <n v="4"/>
    <n v="562.28"/>
    <s v="Customer C4818"/>
    <x v="1"/>
    <x v="0"/>
    <x v="1"/>
    <n v="2249.12"/>
    <x v="7"/>
    <n v="2023"/>
    <s v="High Sales"/>
  </r>
  <r>
    <s v="C9428"/>
    <x v="6"/>
    <d v="2025-03-26T00:00:00"/>
    <n v="4"/>
    <n v="464.74"/>
    <s v="Customer C9428"/>
    <x v="2"/>
    <x v="3"/>
    <x v="2"/>
    <n v="1858.96"/>
    <x v="0"/>
    <n v="2025"/>
    <s v="Low Sales"/>
  </r>
  <r>
    <s v="C3336"/>
    <x v="6"/>
    <d v="2023-06-15T00:00:00"/>
    <n v="6"/>
    <n v="477.93"/>
    <s v="Customer C3336"/>
    <x v="2"/>
    <x v="0"/>
    <x v="1"/>
    <n v="2867.58"/>
    <x v="1"/>
    <n v="2023"/>
    <s v="High Sales"/>
  </r>
  <r>
    <s v="C2984"/>
    <x v="4"/>
    <d v="2023-08-24T00:00:00"/>
    <n v="2"/>
    <n v="771.13"/>
    <s v="Customer C2984"/>
    <x v="0"/>
    <x v="1"/>
    <x v="3"/>
    <n v="1542.26"/>
    <x v="4"/>
    <n v="2023"/>
    <s v="Low Sales"/>
  </r>
  <r>
    <s v="C8098"/>
    <x v="1"/>
    <d v="2024-05-20T00:00:00"/>
    <n v="4"/>
    <n v="492.34"/>
    <s v="Customer C8098"/>
    <x v="1"/>
    <x v="1"/>
    <x v="4"/>
    <n v="1969.36"/>
    <x v="10"/>
    <n v="2024"/>
    <s v="Low Sales"/>
  </r>
  <r>
    <s v="C4040"/>
    <x v="3"/>
    <d v="2025-06-07T00:00:00"/>
    <n v="6"/>
    <n v="494.34"/>
    <s v="Customer C4040"/>
    <x v="1"/>
    <x v="0"/>
    <x v="3"/>
    <n v="2966.04"/>
    <x v="1"/>
    <n v="2025"/>
    <s v="High Sales"/>
  </r>
  <r>
    <s v="C5608"/>
    <x v="2"/>
    <d v="2025-06-14T00:00:00"/>
    <n v="6"/>
    <n v="522.14"/>
    <s v="Customer C5608"/>
    <x v="2"/>
    <x v="4"/>
    <x v="4"/>
    <n v="3132.84"/>
    <x v="1"/>
    <n v="2025"/>
    <s v="High Sales"/>
  </r>
  <r>
    <s v="C7461"/>
    <x v="5"/>
    <d v="2023-08-09T00:00:00"/>
    <n v="1"/>
    <n v="552.91999999999996"/>
    <s v="Customer C7461"/>
    <x v="0"/>
    <x v="2"/>
    <x v="2"/>
    <n v="552.91999999999996"/>
    <x v="4"/>
    <n v="2023"/>
    <s v="Low Sales"/>
  </r>
  <r>
    <s v="C5017"/>
    <x v="2"/>
    <d v="2023-03-19T00:00:00"/>
    <n v="6"/>
    <n v="427.99"/>
    <s v="Customer C5017"/>
    <x v="1"/>
    <x v="1"/>
    <x v="0"/>
    <n v="2567.94"/>
    <x v="0"/>
    <n v="2023"/>
    <s v="High Sales"/>
  </r>
  <r>
    <s v="C2393"/>
    <x v="0"/>
    <d v="2025-04-13T00:00:00"/>
    <n v="8"/>
    <n v="191.88"/>
    <s v="Customer C2393"/>
    <x v="1"/>
    <x v="1"/>
    <x v="4"/>
    <n v="1535.04"/>
    <x v="3"/>
    <n v="2025"/>
    <s v="Low Sales"/>
  </r>
  <r>
    <s v="C4157"/>
    <x v="0"/>
    <d v="2024-05-01T00:00:00"/>
    <n v="2"/>
    <n v="152.69999999999999"/>
    <s v="Customer C4157"/>
    <x v="0"/>
    <x v="0"/>
    <x v="2"/>
    <n v="305.39999999999998"/>
    <x v="10"/>
    <n v="2024"/>
    <s v="Low Sales"/>
  </r>
  <r>
    <s v="C6620"/>
    <x v="3"/>
    <d v="2024-05-31T00:00:00"/>
    <n v="5"/>
    <n v="521.72"/>
    <s v="Customer C6620"/>
    <x v="1"/>
    <x v="1"/>
    <x v="3"/>
    <n v="2608.6"/>
    <x v="10"/>
    <n v="2024"/>
    <s v="High Sales"/>
  </r>
  <r>
    <s v="C4773"/>
    <x v="5"/>
    <d v="2025-04-03T00:00:00"/>
    <n v="2"/>
    <n v="618.34"/>
    <s v="Customer C4773"/>
    <x v="1"/>
    <x v="2"/>
    <x v="1"/>
    <n v="1236.68"/>
    <x v="3"/>
    <n v="2025"/>
    <s v="Low Sales"/>
  </r>
  <r>
    <s v="C3593"/>
    <x v="5"/>
    <d v="2023-04-29T00:00:00"/>
    <n v="8"/>
    <n v="55.62"/>
    <s v="Customer C3593"/>
    <x v="0"/>
    <x v="0"/>
    <x v="4"/>
    <n v="444.96"/>
    <x v="3"/>
    <n v="2023"/>
    <s v="Low Sales"/>
  </r>
  <r>
    <s v="C4707"/>
    <x v="5"/>
    <d v="2024-03-04T00:00:00"/>
    <n v="3"/>
    <n v="460.15"/>
    <s v="Customer C4707"/>
    <x v="2"/>
    <x v="0"/>
    <x v="3"/>
    <n v="1380.45"/>
    <x v="0"/>
    <n v="2024"/>
    <s v="Low Sales"/>
  </r>
  <r>
    <s v="C1579"/>
    <x v="1"/>
    <d v="2024-06-14T00:00:00"/>
    <n v="1"/>
    <n v="391.49"/>
    <s v="Customer C1579"/>
    <x v="0"/>
    <x v="3"/>
    <x v="2"/>
    <n v="391.49"/>
    <x v="1"/>
    <n v="2024"/>
    <s v="Low Sales"/>
  </r>
  <r>
    <s v="C5431"/>
    <x v="2"/>
    <d v="2023-06-16T00:00:00"/>
    <n v="4"/>
    <n v="412.28"/>
    <s v="Customer C5431"/>
    <x v="1"/>
    <x v="1"/>
    <x v="2"/>
    <n v="1649.12"/>
    <x v="1"/>
    <n v="2023"/>
    <s v="Low Sales"/>
  </r>
  <r>
    <s v="C1315"/>
    <x v="5"/>
    <d v="2024-05-29T00:00:00"/>
    <n v="2"/>
    <n v="380.34"/>
    <s v="Customer C1315"/>
    <x v="0"/>
    <x v="4"/>
    <x v="4"/>
    <n v="760.68"/>
    <x v="10"/>
    <n v="2024"/>
    <s v="Low Sales"/>
  </r>
  <r>
    <s v="C7470"/>
    <x v="6"/>
    <d v="2024-08-18T00:00:00"/>
    <n v="3"/>
    <n v="728.86"/>
    <s v="Customer C7470"/>
    <x v="1"/>
    <x v="3"/>
    <x v="4"/>
    <n v="2186.58"/>
    <x v="4"/>
    <n v="2024"/>
    <s v="High Sales"/>
  </r>
  <r>
    <s v="C1563"/>
    <x v="5"/>
    <d v="2024-08-23T00:00:00"/>
    <n v="5"/>
    <n v="324.42"/>
    <s v="Customer C1563"/>
    <x v="1"/>
    <x v="1"/>
    <x v="0"/>
    <n v="1622.1"/>
    <x v="4"/>
    <n v="2024"/>
    <s v="Low Sales"/>
  </r>
  <r>
    <s v="C4425"/>
    <x v="3"/>
    <d v="2023-10-12T00:00:00"/>
    <n v="4"/>
    <n v="107.13"/>
    <s v="Customer C4425"/>
    <x v="1"/>
    <x v="1"/>
    <x v="2"/>
    <n v="428.52"/>
    <x v="9"/>
    <n v="2023"/>
    <s v="Low Sales"/>
  </r>
  <r>
    <s v="C1895"/>
    <x v="6"/>
    <d v="2023-06-25T00:00:00"/>
    <n v="7"/>
    <n v="440.79"/>
    <s v="Customer C1895"/>
    <x v="1"/>
    <x v="2"/>
    <x v="4"/>
    <n v="3085.53"/>
    <x v="1"/>
    <n v="2023"/>
    <s v="High Sales"/>
  </r>
  <r>
    <s v="C7721"/>
    <x v="5"/>
    <d v="2024-04-15T00:00:00"/>
    <n v="4"/>
    <n v="16.100000000000001"/>
    <s v="Customer C7721"/>
    <x v="2"/>
    <x v="0"/>
    <x v="1"/>
    <n v="64.400000000000006"/>
    <x v="3"/>
    <n v="2024"/>
    <s v="Low Sales"/>
  </r>
  <r>
    <s v="C5232"/>
    <x v="5"/>
    <d v="2025-02-26T00:00:00"/>
    <n v="4"/>
    <n v="420.9"/>
    <s v="Customer C5232"/>
    <x v="0"/>
    <x v="1"/>
    <x v="1"/>
    <n v="1683.6"/>
    <x v="5"/>
    <n v="2025"/>
    <s v="Low Sales"/>
  </r>
  <r>
    <s v="C4628"/>
    <x v="5"/>
    <d v="2024-11-23T00:00:00"/>
    <n v="7"/>
    <n v="8.07"/>
    <s v="Customer C4628"/>
    <x v="1"/>
    <x v="0"/>
    <x v="0"/>
    <n v="56.49"/>
    <x v="7"/>
    <n v="2024"/>
    <s v="Low Sales"/>
  </r>
  <r>
    <s v="C7220"/>
    <x v="3"/>
    <d v="2023-04-08T00:00:00"/>
    <n v="6"/>
    <n v="151.15"/>
    <s v="Customer C7220"/>
    <x v="2"/>
    <x v="0"/>
    <x v="3"/>
    <n v="906.90000000000009"/>
    <x v="3"/>
    <n v="2023"/>
    <s v="Low Sales"/>
  </r>
  <r>
    <s v="C4184"/>
    <x v="6"/>
    <d v="2023-06-14T00:00:00"/>
    <n v="2"/>
    <n v="755.25"/>
    <s v="Customer C4184"/>
    <x v="2"/>
    <x v="2"/>
    <x v="0"/>
    <n v="1510.5"/>
    <x v="1"/>
    <n v="2023"/>
    <s v="Low Sales"/>
  </r>
  <r>
    <s v="C5739"/>
    <x v="1"/>
    <d v="2024-08-12T00:00:00"/>
    <n v="2"/>
    <n v="150.26"/>
    <s v="Customer C5739"/>
    <x v="2"/>
    <x v="4"/>
    <x v="2"/>
    <n v="300.52"/>
    <x v="4"/>
    <n v="2024"/>
    <s v="Low Sales"/>
  </r>
  <r>
    <s v="C2392"/>
    <x v="5"/>
    <d v="2024-02-04T00:00:00"/>
    <n v="2"/>
    <n v="291.63"/>
    <s v="Customer C2392"/>
    <x v="2"/>
    <x v="3"/>
    <x v="4"/>
    <n v="583.26"/>
    <x v="5"/>
    <n v="2024"/>
    <s v="Low Sales"/>
  </r>
  <r>
    <s v="C9269"/>
    <x v="1"/>
    <d v="2024-02-11T00:00:00"/>
    <n v="6"/>
    <n v="486.65"/>
    <s v="Customer C9269"/>
    <x v="2"/>
    <x v="1"/>
    <x v="3"/>
    <n v="2919.9"/>
    <x v="5"/>
    <n v="2024"/>
    <s v="High Sales"/>
  </r>
  <r>
    <s v="C5267"/>
    <x v="6"/>
    <d v="2023-03-21T00:00:00"/>
    <n v="2"/>
    <n v="321.64"/>
    <s v="Customer C5267"/>
    <x v="1"/>
    <x v="2"/>
    <x v="3"/>
    <n v="643.28"/>
    <x v="0"/>
    <n v="2023"/>
    <s v="Low Sales"/>
  </r>
  <r>
    <s v="C5111"/>
    <x v="0"/>
    <d v="2023-05-16T00:00:00"/>
    <n v="2"/>
    <n v="146.97999999999999"/>
    <s v="Customer C5111"/>
    <x v="0"/>
    <x v="3"/>
    <x v="2"/>
    <n v="293.95999999999998"/>
    <x v="10"/>
    <n v="2023"/>
    <s v="Low Sales"/>
  </r>
  <r>
    <s v="C6982"/>
    <x v="5"/>
    <d v="2025-05-21T00:00:00"/>
    <n v="2"/>
    <n v="594.86"/>
    <s v="Customer C6982"/>
    <x v="2"/>
    <x v="1"/>
    <x v="2"/>
    <n v="1189.72"/>
    <x v="10"/>
    <n v="2025"/>
    <s v="Low Sales"/>
  </r>
  <r>
    <s v="C5346"/>
    <x v="3"/>
    <d v="2023-05-09T00:00:00"/>
    <n v="2"/>
    <n v="13.46"/>
    <s v="Customer C5346"/>
    <x v="1"/>
    <x v="0"/>
    <x v="4"/>
    <n v="26.92"/>
    <x v="10"/>
    <n v="2023"/>
    <s v="Low Sales"/>
  </r>
  <r>
    <s v="C1088"/>
    <x v="0"/>
    <d v="2024-10-17T00:00:00"/>
    <n v="2"/>
    <n v="479.11"/>
    <s v="Customer C1088"/>
    <x v="1"/>
    <x v="4"/>
    <x v="2"/>
    <n v="958.22"/>
    <x v="9"/>
    <n v="2024"/>
    <s v="Low Sales"/>
  </r>
  <r>
    <s v="C3577"/>
    <x v="4"/>
    <d v="2024-01-02T00:00:00"/>
    <n v="7"/>
    <n v="747.6"/>
    <s v="Customer C3577"/>
    <x v="2"/>
    <x v="0"/>
    <x v="3"/>
    <n v="5233.2"/>
    <x v="6"/>
    <n v="2024"/>
    <s v="High Sales"/>
  </r>
  <r>
    <s v="C8072"/>
    <x v="4"/>
    <d v="2024-04-06T00:00:00"/>
    <n v="1"/>
    <n v="292.60000000000002"/>
    <s v="Customer C8072"/>
    <x v="0"/>
    <x v="3"/>
    <x v="0"/>
    <n v="292.60000000000002"/>
    <x v="3"/>
    <n v="2024"/>
    <s v="Low Sales"/>
  </r>
  <r>
    <s v="C1110"/>
    <x v="5"/>
    <d v="2024-01-30T00:00:00"/>
    <n v="7"/>
    <n v="393.52"/>
    <s v="Customer C1110"/>
    <x v="0"/>
    <x v="3"/>
    <x v="3"/>
    <n v="2754.64"/>
    <x v="6"/>
    <n v="2024"/>
    <s v="High Sales"/>
  </r>
  <r>
    <s v="C2509"/>
    <x v="6"/>
    <d v="2023-07-24T00:00:00"/>
    <n v="5"/>
    <n v="462.31"/>
    <s v="Customer C2509"/>
    <x v="0"/>
    <x v="1"/>
    <x v="2"/>
    <n v="2311.5500000000002"/>
    <x v="11"/>
    <n v="2023"/>
    <s v="High Sales"/>
  </r>
  <r>
    <s v="C5663"/>
    <x v="2"/>
    <d v="2025-04-01T00:00:00"/>
    <n v="4"/>
    <n v="231.92"/>
    <s v="Customer C5663"/>
    <x v="0"/>
    <x v="0"/>
    <x v="1"/>
    <n v="927.68"/>
    <x v="3"/>
    <n v="2025"/>
    <s v="Low Sales"/>
  </r>
  <r>
    <s v="C9376"/>
    <x v="3"/>
    <d v="2025-05-02T00:00:00"/>
    <n v="5"/>
    <n v="406.75"/>
    <s v="Customer C9376"/>
    <x v="1"/>
    <x v="3"/>
    <x v="4"/>
    <n v="2033.75"/>
    <x v="10"/>
    <n v="2025"/>
    <s v="High Sales"/>
  </r>
  <r>
    <s v="C2933"/>
    <x v="6"/>
    <d v="2025-06-27T00:00:00"/>
    <n v="5"/>
    <n v="299.64"/>
    <s v="Customer C2933"/>
    <x v="1"/>
    <x v="0"/>
    <x v="4"/>
    <n v="1498.2"/>
    <x v="1"/>
    <n v="2025"/>
    <s v="Low Sales"/>
  </r>
  <r>
    <s v="C4434"/>
    <x v="4"/>
    <d v="2024-10-12T00:00:00"/>
    <n v="2"/>
    <n v="443.01"/>
    <s v="Customer C4434"/>
    <x v="0"/>
    <x v="3"/>
    <x v="1"/>
    <n v="886.02"/>
    <x v="9"/>
    <n v="2024"/>
    <s v="Low Sales"/>
  </r>
  <r>
    <s v="C9595"/>
    <x v="4"/>
    <d v="2024-06-30T00:00:00"/>
    <n v="5"/>
    <n v="220.51"/>
    <s v="Customer C9595"/>
    <x v="1"/>
    <x v="4"/>
    <x v="3"/>
    <n v="1102.55"/>
    <x v="1"/>
    <n v="2024"/>
    <s v="Low Sales"/>
  </r>
  <r>
    <s v="C2364"/>
    <x v="5"/>
    <d v="2024-08-12T00:00:00"/>
    <n v="3"/>
    <n v="729.13"/>
    <s v="Customer C2364"/>
    <x v="0"/>
    <x v="3"/>
    <x v="3"/>
    <n v="2187.39"/>
    <x v="4"/>
    <n v="2024"/>
    <s v="High Sales"/>
  </r>
  <r>
    <s v="C6805"/>
    <x v="6"/>
    <d v="2023-05-06T00:00:00"/>
    <n v="8"/>
    <n v="301.75"/>
    <s v="Customer C6805"/>
    <x v="1"/>
    <x v="2"/>
    <x v="1"/>
    <n v="2414"/>
    <x v="10"/>
    <n v="2023"/>
    <s v="High Sales"/>
  </r>
  <r>
    <s v="C1418"/>
    <x v="0"/>
    <d v="2024-09-22T00:00:00"/>
    <n v="5"/>
    <n v="786.24"/>
    <s v="Customer C1418"/>
    <x v="2"/>
    <x v="2"/>
    <x v="2"/>
    <n v="3931.2"/>
    <x v="2"/>
    <n v="2024"/>
    <s v="High Sales"/>
  </r>
  <r>
    <s v="C4706"/>
    <x v="2"/>
    <d v="2024-02-21T00:00:00"/>
    <n v="6"/>
    <n v="484.73"/>
    <s v="Customer C4706"/>
    <x v="1"/>
    <x v="1"/>
    <x v="1"/>
    <n v="2908.38"/>
    <x v="5"/>
    <n v="2024"/>
    <s v="High Sales"/>
  </r>
  <r>
    <s v="C4347"/>
    <x v="2"/>
    <d v="2025-02-24T00:00:00"/>
    <n v="3"/>
    <n v="600.34"/>
    <s v="Customer C4347"/>
    <x v="2"/>
    <x v="2"/>
    <x v="2"/>
    <n v="1801.02"/>
    <x v="5"/>
    <n v="2025"/>
    <s v="Low Sales"/>
  </r>
  <r>
    <s v="C1671"/>
    <x v="6"/>
    <d v="2023-03-28T00:00:00"/>
    <n v="2"/>
    <n v="332.97"/>
    <s v="Customer C1671"/>
    <x v="1"/>
    <x v="4"/>
    <x v="3"/>
    <n v="665.94"/>
    <x v="0"/>
    <n v="2023"/>
    <s v="Low Sales"/>
  </r>
  <r>
    <s v="C6730"/>
    <x v="4"/>
    <d v="2023-10-22T00:00:00"/>
    <n v="8"/>
    <n v="555.17999999999995"/>
    <s v="Customer C6730"/>
    <x v="1"/>
    <x v="0"/>
    <x v="3"/>
    <n v="4441.4399999999996"/>
    <x v="9"/>
    <n v="2023"/>
    <s v="High Sales"/>
  </r>
  <r>
    <s v="C5809"/>
    <x v="0"/>
    <d v="2025-02-03T00:00:00"/>
    <n v="5"/>
    <n v="93.9"/>
    <s v="Customer C5809"/>
    <x v="1"/>
    <x v="3"/>
    <x v="1"/>
    <n v="469.5"/>
    <x v="5"/>
    <n v="2025"/>
    <s v="Low Sales"/>
  </r>
  <r>
    <s v="C6812"/>
    <x v="2"/>
    <d v="2024-04-12T00:00:00"/>
    <n v="8"/>
    <n v="152.71"/>
    <s v="Customer C6812"/>
    <x v="0"/>
    <x v="0"/>
    <x v="2"/>
    <n v="1221.68"/>
    <x v="3"/>
    <n v="2024"/>
    <s v="Low Sales"/>
  </r>
  <r>
    <s v="C2143"/>
    <x v="4"/>
    <d v="2024-10-31T00:00:00"/>
    <n v="7"/>
    <n v="653.64"/>
    <s v="Customer C2143"/>
    <x v="1"/>
    <x v="0"/>
    <x v="4"/>
    <n v="4575.4799999999996"/>
    <x v="9"/>
    <n v="2024"/>
    <s v="High Sales"/>
  </r>
  <r>
    <s v="C1885"/>
    <x v="0"/>
    <d v="2025-05-29T00:00:00"/>
    <n v="1"/>
    <n v="83.94"/>
    <s v="Customer C1885"/>
    <x v="0"/>
    <x v="3"/>
    <x v="4"/>
    <n v="83.94"/>
    <x v="10"/>
    <n v="2025"/>
    <s v="Low Sales"/>
  </r>
  <r>
    <s v="C2037"/>
    <x v="5"/>
    <d v="2024-06-05T00:00:00"/>
    <n v="4"/>
    <n v="170.91"/>
    <s v="Customer C2037"/>
    <x v="1"/>
    <x v="1"/>
    <x v="3"/>
    <n v="683.64"/>
    <x v="1"/>
    <n v="2024"/>
    <s v="Low Sales"/>
  </r>
  <r>
    <s v="C5049"/>
    <x v="6"/>
    <d v="2025-03-09T00:00:00"/>
    <n v="8"/>
    <n v="335.81"/>
    <s v="Customer C5049"/>
    <x v="2"/>
    <x v="1"/>
    <x v="0"/>
    <n v="2686.48"/>
    <x v="0"/>
    <n v="2025"/>
    <s v="High Sales"/>
  </r>
  <r>
    <s v="C8382"/>
    <x v="5"/>
    <d v="2024-12-09T00:00:00"/>
    <n v="4"/>
    <n v="229.4"/>
    <s v="Customer C8382"/>
    <x v="2"/>
    <x v="1"/>
    <x v="0"/>
    <n v="917.6"/>
    <x v="8"/>
    <n v="2024"/>
    <s v="Low Sales"/>
  </r>
  <r>
    <s v="C2728"/>
    <x v="2"/>
    <d v="2025-03-06T00:00:00"/>
    <n v="4"/>
    <n v="536.23"/>
    <s v="Customer C2728"/>
    <x v="1"/>
    <x v="2"/>
    <x v="2"/>
    <n v="2144.92"/>
    <x v="0"/>
    <n v="2025"/>
    <s v="High Sales"/>
  </r>
  <r>
    <s v="C7319"/>
    <x v="0"/>
    <d v="2023-12-17T00:00:00"/>
    <n v="1"/>
    <n v="654.47"/>
    <s v="Customer C7319"/>
    <x v="2"/>
    <x v="2"/>
    <x v="2"/>
    <n v="654.47"/>
    <x v="8"/>
    <n v="2023"/>
    <s v="Low Sales"/>
  </r>
  <r>
    <s v="C1837"/>
    <x v="2"/>
    <d v="2023-01-01T00:00:00"/>
    <n v="3"/>
    <n v="366.1"/>
    <s v="Customer C1837"/>
    <x v="0"/>
    <x v="1"/>
    <x v="3"/>
    <n v="1098.3"/>
    <x v="6"/>
    <n v="2023"/>
    <s v="Low Sales"/>
  </r>
  <r>
    <s v="C9898"/>
    <x v="2"/>
    <d v="2023-03-17T00:00:00"/>
    <n v="8"/>
    <n v="433.99"/>
    <s v="Customer C9898"/>
    <x v="2"/>
    <x v="2"/>
    <x v="1"/>
    <n v="3471.92"/>
    <x v="0"/>
    <n v="2023"/>
    <s v="High Sales"/>
  </r>
  <r>
    <s v="C8814"/>
    <x v="1"/>
    <d v="2025-01-10T00:00:00"/>
    <n v="1"/>
    <n v="482.69"/>
    <s v="Customer C8814"/>
    <x v="1"/>
    <x v="1"/>
    <x v="4"/>
    <n v="482.69"/>
    <x v="6"/>
    <n v="2025"/>
    <s v="Low Sales"/>
  </r>
  <r>
    <s v="C4385"/>
    <x v="6"/>
    <d v="2023-02-17T00:00:00"/>
    <n v="3"/>
    <n v="695.18"/>
    <s v="Customer C4385"/>
    <x v="1"/>
    <x v="4"/>
    <x v="0"/>
    <n v="2085.54"/>
    <x v="5"/>
    <n v="2023"/>
    <s v="High Sales"/>
  </r>
  <r>
    <s v="C5225"/>
    <x v="1"/>
    <d v="2023-11-28T00:00:00"/>
    <n v="7"/>
    <n v="194.8"/>
    <s v="Customer C5225"/>
    <x v="2"/>
    <x v="1"/>
    <x v="2"/>
    <n v="1363.6"/>
    <x v="7"/>
    <n v="2023"/>
    <s v="Low Sales"/>
  </r>
  <r>
    <s v="C7411"/>
    <x v="5"/>
    <d v="2024-10-28T00:00:00"/>
    <n v="2"/>
    <n v="173.39"/>
    <s v="Customer C7411"/>
    <x v="1"/>
    <x v="2"/>
    <x v="0"/>
    <n v="346.78"/>
    <x v="9"/>
    <n v="2024"/>
    <s v="Low Sales"/>
  </r>
  <r>
    <s v="C8750"/>
    <x v="6"/>
    <d v="2024-01-24T00:00:00"/>
    <n v="7"/>
    <n v="511.56"/>
    <s v="Customer C8750"/>
    <x v="0"/>
    <x v="0"/>
    <x v="1"/>
    <n v="3580.92"/>
    <x v="6"/>
    <n v="2024"/>
    <s v="High Sales"/>
  </r>
  <r>
    <s v="C3708"/>
    <x v="1"/>
    <d v="2023-05-10T00:00:00"/>
    <n v="6"/>
    <n v="653"/>
    <s v="Customer C3708"/>
    <x v="0"/>
    <x v="1"/>
    <x v="2"/>
    <n v="3918"/>
    <x v="10"/>
    <n v="2023"/>
    <s v="High Sales"/>
  </r>
  <r>
    <s v="C2776"/>
    <x v="3"/>
    <d v="2025-02-03T00:00:00"/>
    <n v="7"/>
    <n v="354.53"/>
    <s v="Customer C2776"/>
    <x v="0"/>
    <x v="1"/>
    <x v="1"/>
    <n v="2481.71"/>
    <x v="5"/>
    <n v="2025"/>
    <s v="High Sales"/>
  </r>
  <r>
    <s v="C2562"/>
    <x v="6"/>
    <d v="2023-10-12T00:00:00"/>
    <n v="6"/>
    <n v="685.4"/>
    <s v="Customer C2562"/>
    <x v="2"/>
    <x v="1"/>
    <x v="1"/>
    <n v="4112.3999999999996"/>
    <x v="9"/>
    <n v="2023"/>
    <s v="High Sales"/>
  </r>
  <r>
    <s v="C3354"/>
    <x v="5"/>
    <d v="2025-06-14T00:00:00"/>
    <n v="3"/>
    <n v="194.47"/>
    <s v="Customer C3354"/>
    <x v="2"/>
    <x v="2"/>
    <x v="3"/>
    <n v="583.41"/>
    <x v="1"/>
    <n v="2025"/>
    <s v="Low Sales"/>
  </r>
  <r>
    <s v="C5421"/>
    <x v="2"/>
    <d v="2024-07-04T00:00:00"/>
    <n v="7"/>
    <n v="277.24"/>
    <s v="Customer C5421"/>
    <x v="1"/>
    <x v="2"/>
    <x v="2"/>
    <n v="1940.68"/>
    <x v="11"/>
    <n v="2024"/>
    <s v="Low Sales"/>
  </r>
  <r>
    <s v="C9622"/>
    <x v="0"/>
    <d v="2024-06-16T00:00:00"/>
    <n v="3"/>
    <n v="759.6"/>
    <s v="Customer C9622"/>
    <x v="1"/>
    <x v="2"/>
    <x v="4"/>
    <n v="2278.8000000000002"/>
    <x v="1"/>
    <n v="2024"/>
    <s v="High Sales"/>
  </r>
  <r>
    <s v="C3333"/>
    <x v="6"/>
    <d v="2024-05-13T00:00:00"/>
    <n v="7"/>
    <n v="656.21"/>
    <s v="Customer C3333"/>
    <x v="1"/>
    <x v="0"/>
    <x v="4"/>
    <n v="4593.47"/>
    <x v="10"/>
    <n v="2024"/>
    <s v="High Sales"/>
  </r>
  <r>
    <s v="C7286"/>
    <x v="5"/>
    <d v="2023-07-11T00:00:00"/>
    <n v="5"/>
    <n v="476.01"/>
    <s v="Customer C7286"/>
    <x v="2"/>
    <x v="3"/>
    <x v="2"/>
    <n v="2380.0500000000002"/>
    <x v="11"/>
    <n v="2023"/>
    <s v="High Sales"/>
  </r>
  <r>
    <s v="C9401"/>
    <x v="4"/>
    <d v="2024-08-06T00:00:00"/>
    <n v="1"/>
    <n v="199.99"/>
    <s v="Customer C9401"/>
    <x v="1"/>
    <x v="2"/>
    <x v="0"/>
    <n v="199.99"/>
    <x v="4"/>
    <n v="2024"/>
    <s v="Low Sales"/>
  </r>
  <r>
    <s v="C2727"/>
    <x v="1"/>
    <d v="2023-07-23T00:00:00"/>
    <n v="1"/>
    <n v="503.37"/>
    <s v="Customer C2727"/>
    <x v="2"/>
    <x v="0"/>
    <x v="1"/>
    <n v="503.37"/>
    <x v="11"/>
    <n v="2023"/>
    <s v="Low Sales"/>
  </r>
  <r>
    <s v="C2130"/>
    <x v="4"/>
    <d v="2024-04-12T00:00:00"/>
    <n v="3"/>
    <n v="444.27"/>
    <s v="Customer C2130"/>
    <x v="2"/>
    <x v="1"/>
    <x v="3"/>
    <n v="1332.81"/>
    <x v="3"/>
    <n v="2024"/>
    <s v="Low Sales"/>
  </r>
  <r>
    <s v="C4420"/>
    <x v="2"/>
    <d v="2024-02-05T00:00:00"/>
    <n v="2"/>
    <n v="236.14"/>
    <s v="Customer C4420"/>
    <x v="1"/>
    <x v="2"/>
    <x v="3"/>
    <n v="472.28"/>
    <x v="5"/>
    <n v="2024"/>
    <s v="Low Sales"/>
  </r>
  <r>
    <s v="C7115"/>
    <x v="5"/>
    <d v="2024-12-22T00:00:00"/>
    <n v="8"/>
    <n v="171.58"/>
    <s v="Customer C7115"/>
    <x v="0"/>
    <x v="3"/>
    <x v="2"/>
    <n v="1372.64"/>
    <x v="8"/>
    <n v="2024"/>
    <s v="Low Sales"/>
  </r>
  <r>
    <s v="C6807"/>
    <x v="0"/>
    <d v="2025-01-05T00:00:00"/>
    <n v="6"/>
    <n v="139.58000000000001"/>
    <s v="Customer C6807"/>
    <x v="2"/>
    <x v="1"/>
    <x v="2"/>
    <n v="837.48"/>
    <x v="6"/>
    <n v="2025"/>
    <s v="Low Sales"/>
  </r>
  <r>
    <s v="C9614"/>
    <x v="5"/>
    <d v="2025-04-30T00:00:00"/>
    <n v="5"/>
    <n v="667.3"/>
    <s v="Customer C9614"/>
    <x v="1"/>
    <x v="0"/>
    <x v="0"/>
    <n v="3336.5"/>
    <x v="3"/>
    <n v="2025"/>
    <s v="High Sales"/>
  </r>
  <r>
    <s v="C4862"/>
    <x v="3"/>
    <d v="2023-06-29T00:00:00"/>
    <n v="8"/>
    <n v="265.70999999999998"/>
    <s v="Customer C4862"/>
    <x v="0"/>
    <x v="1"/>
    <x v="2"/>
    <n v="2125.6799999999998"/>
    <x v="1"/>
    <n v="2023"/>
    <s v="High Sales"/>
  </r>
  <r>
    <s v="C2255"/>
    <x v="3"/>
    <d v="2024-08-12T00:00:00"/>
    <n v="8"/>
    <n v="407.6"/>
    <s v="Customer C2255"/>
    <x v="2"/>
    <x v="3"/>
    <x v="2"/>
    <n v="3260.8"/>
    <x v="4"/>
    <n v="2024"/>
    <s v="High Sales"/>
  </r>
  <r>
    <s v="C4369"/>
    <x v="6"/>
    <d v="2024-11-02T00:00:00"/>
    <n v="3"/>
    <n v="300.82"/>
    <s v="Customer C4369"/>
    <x v="1"/>
    <x v="4"/>
    <x v="3"/>
    <n v="902.46"/>
    <x v="7"/>
    <n v="2024"/>
    <s v="Low Sales"/>
  </r>
  <r>
    <s v="C1814"/>
    <x v="5"/>
    <d v="2023-12-02T00:00:00"/>
    <n v="2"/>
    <n v="113.13"/>
    <s v="Customer C1814"/>
    <x v="1"/>
    <x v="0"/>
    <x v="1"/>
    <n v="226.26"/>
    <x v="8"/>
    <n v="2023"/>
    <s v="Low Sales"/>
  </r>
  <r>
    <s v="C8788"/>
    <x v="6"/>
    <d v="2024-04-25T00:00:00"/>
    <n v="3"/>
    <n v="292.42"/>
    <s v="Customer C8788"/>
    <x v="0"/>
    <x v="0"/>
    <x v="2"/>
    <n v="877.26"/>
    <x v="3"/>
    <n v="2024"/>
    <s v="Low Sales"/>
  </r>
  <r>
    <s v="C3761"/>
    <x v="5"/>
    <d v="2023-09-10T00:00:00"/>
    <n v="4"/>
    <n v="134.59"/>
    <s v="Customer C3761"/>
    <x v="2"/>
    <x v="4"/>
    <x v="1"/>
    <n v="538.36"/>
    <x v="2"/>
    <n v="2023"/>
    <s v="Low Sales"/>
  </r>
  <r>
    <s v="C2659"/>
    <x v="4"/>
    <d v="2023-08-03T00:00:00"/>
    <n v="1"/>
    <n v="563.53"/>
    <s v="Customer C2659"/>
    <x v="2"/>
    <x v="4"/>
    <x v="3"/>
    <n v="563.53"/>
    <x v="4"/>
    <n v="2023"/>
    <s v="Low Sales"/>
  </r>
  <r>
    <s v="C5898"/>
    <x v="1"/>
    <d v="2024-01-16T00:00:00"/>
    <n v="5"/>
    <n v="791.03"/>
    <s v="Customer C5898"/>
    <x v="1"/>
    <x v="3"/>
    <x v="0"/>
    <n v="3955.15"/>
    <x v="6"/>
    <n v="2024"/>
    <s v="High Sales"/>
  </r>
  <r>
    <s v="C4055"/>
    <x v="6"/>
    <d v="2023-02-11T00:00:00"/>
    <n v="6"/>
    <n v="89.02"/>
    <s v="Customer C4055"/>
    <x v="1"/>
    <x v="0"/>
    <x v="4"/>
    <n v="534.12"/>
    <x v="5"/>
    <n v="2023"/>
    <s v="Low Sales"/>
  </r>
  <r>
    <s v="C6270"/>
    <x v="1"/>
    <d v="2024-07-15T00:00:00"/>
    <n v="3"/>
    <n v="773.39"/>
    <s v="Customer C6270"/>
    <x v="2"/>
    <x v="3"/>
    <x v="4"/>
    <n v="2320.17"/>
    <x v="11"/>
    <n v="2024"/>
    <s v="High Sales"/>
  </r>
  <r>
    <s v="C5457"/>
    <x v="6"/>
    <d v="2024-01-13T00:00:00"/>
    <n v="2"/>
    <n v="187.21"/>
    <s v="Customer C5457"/>
    <x v="0"/>
    <x v="2"/>
    <x v="0"/>
    <n v="374.42"/>
    <x v="6"/>
    <n v="2024"/>
    <s v="Low Sales"/>
  </r>
  <r>
    <s v="C2882"/>
    <x v="1"/>
    <d v="2025-04-13T00:00:00"/>
    <n v="6"/>
    <n v="19.09"/>
    <s v="Customer C2882"/>
    <x v="2"/>
    <x v="4"/>
    <x v="1"/>
    <n v="114.54"/>
    <x v="3"/>
    <n v="2025"/>
    <s v="Low Sales"/>
  </r>
  <r>
    <s v="C6426"/>
    <x v="2"/>
    <d v="2025-03-23T00:00:00"/>
    <n v="5"/>
    <n v="446.59"/>
    <s v="Customer C6426"/>
    <x v="0"/>
    <x v="4"/>
    <x v="3"/>
    <n v="2232.9499999999998"/>
    <x v="0"/>
    <n v="2025"/>
    <s v="High Sales"/>
  </r>
  <r>
    <s v="C7600"/>
    <x v="2"/>
    <d v="2024-05-18T00:00:00"/>
    <n v="4"/>
    <n v="223.63"/>
    <s v="Customer C7600"/>
    <x v="0"/>
    <x v="4"/>
    <x v="0"/>
    <n v="894.52"/>
    <x v="10"/>
    <n v="2024"/>
    <s v="Low Sales"/>
  </r>
  <r>
    <s v="C4731"/>
    <x v="3"/>
    <d v="2025-05-06T00:00:00"/>
    <n v="7"/>
    <n v="616.71"/>
    <s v="Customer C4731"/>
    <x v="2"/>
    <x v="4"/>
    <x v="3"/>
    <n v="4316.97"/>
    <x v="10"/>
    <n v="2025"/>
    <s v="High Sales"/>
  </r>
  <r>
    <s v="C8199"/>
    <x v="3"/>
    <d v="2024-03-28T00:00:00"/>
    <n v="8"/>
    <n v="19.29"/>
    <s v="Customer C8199"/>
    <x v="1"/>
    <x v="4"/>
    <x v="2"/>
    <n v="154.32"/>
    <x v="0"/>
    <n v="2024"/>
    <s v="Low Sales"/>
  </r>
  <r>
    <s v="C4991"/>
    <x v="1"/>
    <d v="2023-10-06T00:00:00"/>
    <n v="7"/>
    <n v="38.24"/>
    <s v="Customer C4991"/>
    <x v="2"/>
    <x v="2"/>
    <x v="0"/>
    <n v="267.68"/>
    <x v="9"/>
    <n v="2023"/>
    <s v="Low Sales"/>
  </r>
  <r>
    <s v="C1972"/>
    <x v="3"/>
    <d v="2023-07-24T00:00:00"/>
    <n v="1"/>
    <n v="717.94"/>
    <s v="Customer C1972"/>
    <x v="2"/>
    <x v="1"/>
    <x v="0"/>
    <n v="717.94"/>
    <x v="11"/>
    <n v="2023"/>
    <s v="Low Sales"/>
  </r>
  <r>
    <s v="C8799"/>
    <x v="3"/>
    <d v="2023-03-19T00:00:00"/>
    <n v="6"/>
    <n v="762.24"/>
    <s v="Customer C8799"/>
    <x v="2"/>
    <x v="2"/>
    <x v="3"/>
    <n v="4573.4400000000014"/>
    <x v="0"/>
    <n v="2023"/>
    <s v="High Sales"/>
  </r>
  <r>
    <s v="C6200"/>
    <x v="1"/>
    <d v="2023-02-04T00:00:00"/>
    <n v="5"/>
    <n v="228.61"/>
    <s v="Customer C6200"/>
    <x v="1"/>
    <x v="3"/>
    <x v="3"/>
    <n v="1143.05"/>
    <x v="5"/>
    <n v="2023"/>
    <s v="Low Sales"/>
  </r>
  <r>
    <s v="C5983"/>
    <x v="6"/>
    <d v="2023-06-07T00:00:00"/>
    <n v="8"/>
    <n v="369.33"/>
    <s v="Customer C5983"/>
    <x v="0"/>
    <x v="1"/>
    <x v="4"/>
    <n v="2954.64"/>
    <x v="1"/>
    <n v="2023"/>
    <s v="High Sales"/>
  </r>
  <r>
    <s v="C6809"/>
    <x v="1"/>
    <d v="2024-10-21T00:00:00"/>
    <n v="1"/>
    <n v="531.54"/>
    <s v="Customer C6809"/>
    <x v="2"/>
    <x v="0"/>
    <x v="0"/>
    <n v="531.54"/>
    <x v="9"/>
    <n v="2024"/>
    <s v="Low Sales"/>
  </r>
  <r>
    <s v="C9553"/>
    <x v="5"/>
    <d v="2024-11-02T00:00:00"/>
    <n v="6"/>
    <n v="525.89"/>
    <s v="Customer C9553"/>
    <x v="0"/>
    <x v="4"/>
    <x v="0"/>
    <n v="3155.34"/>
    <x v="7"/>
    <n v="2024"/>
    <s v="High Sales"/>
  </r>
  <r>
    <s v="C7345"/>
    <x v="1"/>
    <d v="2025-01-23T00:00:00"/>
    <n v="1"/>
    <n v="95.7"/>
    <s v="Customer C7345"/>
    <x v="2"/>
    <x v="1"/>
    <x v="2"/>
    <n v="95.7"/>
    <x v="6"/>
    <n v="2025"/>
    <s v="Low Sales"/>
  </r>
  <r>
    <s v="C1763"/>
    <x v="1"/>
    <d v="2023-05-26T00:00:00"/>
    <n v="6"/>
    <n v="171.16"/>
    <s v="Customer C1763"/>
    <x v="2"/>
    <x v="1"/>
    <x v="4"/>
    <n v="1026.96"/>
    <x v="10"/>
    <n v="2023"/>
    <s v="Low Sales"/>
  </r>
  <r>
    <s v="C2830"/>
    <x v="6"/>
    <d v="2023-07-19T00:00:00"/>
    <n v="8"/>
    <n v="518.52"/>
    <s v="Customer C2830"/>
    <x v="1"/>
    <x v="3"/>
    <x v="4"/>
    <n v="4148.16"/>
    <x v="11"/>
    <n v="2023"/>
    <s v="High Sales"/>
  </r>
  <r>
    <s v="C7046"/>
    <x v="6"/>
    <d v="2024-06-13T00:00:00"/>
    <n v="7"/>
    <n v="741.81"/>
    <s v="Customer C7046"/>
    <x v="1"/>
    <x v="1"/>
    <x v="2"/>
    <n v="5192.67"/>
    <x v="1"/>
    <n v="2024"/>
    <s v="High Sales"/>
  </r>
  <r>
    <s v="C1254"/>
    <x v="4"/>
    <d v="2025-01-12T00:00:00"/>
    <n v="2"/>
    <n v="259.37"/>
    <s v="Customer C1254"/>
    <x v="2"/>
    <x v="0"/>
    <x v="4"/>
    <n v="518.74"/>
    <x v="6"/>
    <n v="2025"/>
    <s v="Low Sales"/>
  </r>
  <r>
    <s v="C1857"/>
    <x v="1"/>
    <d v="2024-04-21T00:00:00"/>
    <n v="6"/>
    <n v="625.48"/>
    <s v="Customer C1857"/>
    <x v="1"/>
    <x v="1"/>
    <x v="0"/>
    <n v="3752.88"/>
    <x v="3"/>
    <n v="2024"/>
    <s v="High Sales"/>
  </r>
  <r>
    <s v="C3513"/>
    <x v="4"/>
    <d v="2024-05-04T00:00:00"/>
    <n v="7"/>
    <n v="631.26"/>
    <s v="Customer C3513"/>
    <x v="1"/>
    <x v="2"/>
    <x v="4"/>
    <n v="4418.82"/>
    <x v="10"/>
    <n v="2024"/>
    <s v="High Sales"/>
  </r>
  <r>
    <s v="C9670"/>
    <x v="5"/>
    <d v="2025-05-07T00:00:00"/>
    <n v="1"/>
    <n v="580.17999999999995"/>
    <s v="Customer C9670"/>
    <x v="1"/>
    <x v="0"/>
    <x v="1"/>
    <n v="580.17999999999995"/>
    <x v="10"/>
    <n v="2025"/>
    <s v="Low Sales"/>
  </r>
  <r>
    <s v="C7175"/>
    <x v="6"/>
    <d v="2024-05-11T00:00:00"/>
    <n v="5"/>
    <n v="432.75"/>
    <s v="Customer C7175"/>
    <x v="2"/>
    <x v="4"/>
    <x v="4"/>
    <n v="2163.75"/>
    <x v="10"/>
    <n v="2024"/>
    <s v="High Sales"/>
  </r>
  <r>
    <s v="C7332"/>
    <x v="1"/>
    <d v="2024-10-11T00:00:00"/>
    <n v="2"/>
    <n v="697.26"/>
    <s v="Customer C7332"/>
    <x v="1"/>
    <x v="2"/>
    <x v="0"/>
    <n v="1394.52"/>
    <x v="9"/>
    <n v="2024"/>
    <s v="Low Sales"/>
  </r>
  <r>
    <s v="C9275"/>
    <x v="0"/>
    <d v="2025-05-25T00:00:00"/>
    <n v="4"/>
    <n v="150.13"/>
    <s v="Customer C9275"/>
    <x v="1"/>
    <x v="3"/>
    <x v="3"/>
    <n v="600.52"/>
    <x v="10"/>
    <n v="2025"/>
    <s v="Low Sales"/>
  </r>
  <r>
    <s v="C7537"/>
    <x v="4"/>
    <d v="2023-09-19T00:00:00"/>
    <n v="6"/>
    <n v="334.15"/>
    <s v="Customer C7537"/>
    <x v="2"/>
    <x v="1"/>
    <x v="2"/>
    <n v="2004.9"/>
    <x v="2"/>
    <n v="2023"/>
    <s v="High Sales"/>
  </r>
  <r>
    <s v="C7866"/>
    <x v="4"/>
    <d v="2024-07-10T00:00:00"/>
    <n v="3"/>
    <n v="145.13"/>
    <s v="Customer C7866"/>
    <x v="1"/>
    <x v="0"/>
    <x v="1"/>
    <n v="435.39"/>
    <x v="11"/>
    <n v="2024"/>
    <s v="Low Sales"/>
  </r>
  <r>
    <s v="C8663"/>
    <x v="1"/>
    <d v="2025-05-27T00:00:00"/>
    <n v="4"/>
    <n v="676.14"/>
    <s v="Customer C8663"/>
    <x v="0"/>
    <x v="3"/>
    <x v="0"/>
    <n v="2704.56"/>
    <x v="10"/>
    <n v="2025"/>
    <s v="High Sales"/>
  </r>
  <r>
    <s v="C3103"/>
    <x v="3"/>
    <d v="2025-02-14T00:00:00"/>
    <n v="7"/>
    <n v="402"/>
    <s v="Customer C3103"/>
    <x v="2"/>
    <x v="0"/>
    <x v="0"/>
    <n v="2814"/>
    <x v="5"/>
    <n v="2025"/>
    <s v="High Sales"/>
  </r>
  <r>
    <s v="C9976"/>
    <x v="0"/>
    <d v="2024-06-17T00:00:00"/>
    <n v="8"/>
    <n v="247.59"/>
    <s v="Customer C9976"/>
    <x v="0"/>
    <x v="0"/>
    <x v="0"/>
    <n v="1980.72"/>
    <x v="1"/>
    <n v="2024"/>
    <s v="Low Sales"/>
  </r>
  <r>
    <s v="C7629"/>
    <x v="4"/>
    <d v="2023-10-10T00:00:00"/>
    <n v="4"/>
    <n v="135.77000000000001"/>
    <s v="Customer C7629"/>
    <x v="2"/>
    <x v="1"/>
    <x v="1"/>
    <n v="543.08000000000004"/>
    <x v="9"/>
    <n v="2023"/>
    <s v="Low Sales"/>
  </r>
  <r>
    <s v="C1486"/>
    <x v="0"/>
    <d v="2023-06-28T00:00:00"/>
    <n v="1"/>
    <n v="391.35"/>
    <s v="Customer C1486"/>
    <x v="0"/>
    <x v="3"/>
    <x v="4"/>
    <n v="391.35"/>
    <x v="1"/>
    <n v="2023"/>
    <s v="Low Sales"/>
  </r>
  <r>
    <s v="C5253"/>
    <x v="6"/>
    <d v="2025-04-12T00:00:00"/>
    <n v="6"/>
    <n v="378.33"/>
    <s v="Customer C5253"/>
    <x v="2"/>
    <x v="2"/>
    <x v="4"/>
    <n v="2269.98"/>
    <x v="3"/>
    <n v="2025"/>
    <s v="High Sales"/>
  </r>
  <r>
    <s v="C2950"/>
    <x v="2"/>
    <d v="2023-11-17T00:00:00"/>
    <n v="1"/>
    <n v="757.24"/>
    <s v="Customer C2950"/>
    <x v="0"/>
    <x v="2"/>
    <x v="3"/>
    <n v="757.24"/>
    <x v="7"/>
    <n v="2023"/>
    <s v="Low Sales"/>
  </r>
  <r>
    <s v="C4162"/>
    <x v="0"/>
    <d v="2024-02-25T00:00:00"/>
    <n v="1"/>
    <n v="543.76"/>
    <s v="Customer C4162"/>
    <x v="2"/>
    <x v="1"/>
    <x v="4"/>
    <n v="543.76"/>
    <x v="5"/>
    <n v="2024"/>
    <s v="Low Sales"/>
  </r>
  <r>
    <s v="C4204"/>
    <x v="2"/>
    <d v="2024-08-09T00:00:00"/>
    <n v="5"/>
    <n v="460.25"/>
    <s v="Customer C4204"/>
    <x v="2"/>
    <x v="4"/>
    <x v="3"/>
    <n v="2301.25"/>
    <x v="4"/>
    <n v="2024"/>
    <s v="High Sales"/>
  </r>
  <r>
    <s v="C5085"/>
    <x v="2"/>
    <d v="2023-02-21T00:00:00"/>
    <n v="7"/>
    <n v="148.32"/>
    <s v="Customer C5085"/>
    <x v="1"/>
    <x v="3"/>
    <x v="1"/>
    <n v="1038.24"/>
    <x v="5"/>
    <n v="2023"/>
    <s v="Low Sales"/>
  </r>
  <r>
    <s v="C6059"/>
    <x v="1"/>
    <d v="2024-09-25T00:00:00"/>
    <n v="3"/>
    <n v="506.55"/>
    <s v="Customer C6059"/>
    <x v="1"/>
    <x v="1"/>
    <x v="4"/>
    <n v="1519.65"/>
    <x v="2"/>
    <n v="2024"/>
    <s v="Low Sales"/>
  </r>
  <r>
    <s v="C2422"/>
    <x v="4"/>
    <d v="2024-09-02T00:00:00"/>
    <n v="7"/>
    <n v="716.84"/>
    <s v="Customer C2422"/>
    <x v="0"/>
    <x v="0"/>
    <x v="3"/>
    <n v="5017.88"/>
    <x v="2"/>
    <n v="2024"/>
    <s v="High Sales"/>
  </r>
  <r>
    <s v="C7729"/>
    <x v="3"/>
    <d v="2024-11-10T00:00:00"/>
    <n v="8"/>
    <n v="571.69000000000005"/>
    <s v="Customer C7729"/>
    <x v="0"/>
    <x v="4"/>
    <x v="0"/>
    <n v="4573.5200000000004"/>
    <x v="7"/>
    <n v="2024"/>
    <s v="High Sales"/>
  </r>
  <r>
    <s v="C9367"/>
    <x v="3"/>
    <d v="2024-06-07T00:00:00"/>
    <n v="1"/>
    <n v="77.78"/>
    <s v="Customer C9367"/>
    <x v="2"/>
    <x v="0"/>
    <x v="2"/>
    <n v="77.78"/>
    <x v="1"/>
    <n v="2024"/>
    <s v="Low Sales"/>
  </r>
  <r>
    <s v="C1578"/>
    <x v="6"/>
    <d v="2025-04-27T00:00:00"/>
    <n v="7"/>
    <n v="71.72"/>
    <s v="Customer C1578"/>
    <x v="1"/>
    <x v="4"/>
    <x v="2"/>
    <n v="502.04"/>
    <x v="3"/>
    <n v="2025"/>
    <s v="Low Sales"/>
  </r>
  <r>
    <s v="C4542"/>
    <x v="1"/>
    <d v="2025-02-25T00:00:00"/>
    <n v="6"/>
    <n v="416.07"/>
    <s v="Customer C4542"/>
    <x v="2"/>
    <x v="1"/>
    <x v="0"/>
    <n v="2496.42"/>
    <x v="5"/>
    <n v="2025"/>
    <s v="High Sales"/>
  </r>
  <r>
    <s v="C9725"/>
    <x v="5"/>
    <d v="2024-10-15T00:00:00"/>
    <n v="2"/>
    <n v="118.09"/>
    <s v="Customer C9725"/>
    <x v="2"/>
    <x v="4"/>
    <x v="2"/>
    <n v="236.18"/>
    <x v="9"/>
    <n v="2024"/>
    <s v="Low Sales"/>
  </r>
  <r>
    <s v="C4367"/>
    <x v="5"/>
    <d v="2023-10-21T00:00:00"/>
    <n v="5"/>
    <n v="389.64"/>
    <s v="Customer C4367"/>
    <x v="2"/>
    <x v="0"/>
    <x v="4"/>
    <n v="1948.2"/>
    <x v="9"/>
    <n v="2023"/>
    <s v="Low Sales"/>
  </r>
  <r>
    <s v="C8755"/>
    <x v="1"/>
    <d v="2024-07-25T00:00:00"/>
    <n v="1"/>
    <n v="193.13"/>
    <s v="Customer C8755"/>
    <x v="0"/>
    <x v="3"/>
    <x v="2"/>
    <n v="193.13"/>
    <x v="11"/>
    <n v="2024"/>
    <s v="Low Sales"/>
  </r>
  <r>
    <s v="C1472"/>
    <x v="3"/>
    <d v="2023-05-11T00:00:00"/>
    <n v="2"/>
    <n v="739.2"/>
    <s v="Customer C1472"/>
    <x v="1"/>
    <x v="2"/>
    <x v="2"/>
    <n v="1478.4"/>
    <x v="10"/>
    <n v="2023"/>
    <s v="Low Sales"/>
  </r>
  <r>
    <s v="C3073"/>
    <x v="4"/>
    <d v="2024-09-12T00:00:00"/>
    <n v="1"/>
    <n v="634.04999999999995"/>
    <s v="Customer C3073"/>
    <x v="2"/>
    <x v="0"/>
    <x v="3"/>
    <n v="634.04999999999995"/>
    <x v="2"/>
    <n v="2024"/>
    <s v="Low Sales"/>
  </r>
  <r>
    <s v="C8383"/>
    <x v="6"/>
    <d v="2024-07-14T00:00:00"/>
    <n v="6"/>
    <n v="284.14999999999998"/>
    <s v="Customer C8383"/>
    <x v="2"/>
    <x v="4"/>
    <x v="0"/>
    <n v="1704.9"/>
    <x v="11"/>
    <n v="2024"/>
    <s v="Low Sales"/>
  </r>
  <r>
    <s v="C1956"/>
    <x v="4"/>
    <d v="2023-12-18T00:00:00"/>
    <n v="6"/>
    <n v="296.52999999999997"/>
    <s v="Customer C1956"/>
    <x v="2"/>
    <x v="4"/>
    <x v="1"/>
    <n v="1779.18"/>
    <x v="8"/>
    <n v="2023"/>
    <s v="Low Sales"/>
  </r>
  <r>
    <s v="C3845"/>
    <x v="2"/>
    <d v="2023-03-25T00:00:00"/>
    <n v="4"/>
    <n v="84.57"/>
    <s v="Customer C3845"/>
    <x v="1"/>
    <x v="3"/>
    <x v="4"/>
    <n v="338.28"/>
    <x v="0"/>
    <n v="2023"/>
    <s v="Low Sales"/>
  </r>
  <r>
    <s v="C5759"/>
    <x v="4"/>
    <d v="2025-06-15T00:00:00"/>
    <n v="2"/>
    <n v="219.67"/>
    <s v="Customer C5759"/>
    <x v="2"/>
    <x v="4"/>
    <x v="3"/>
    <n v="439.34"/>
    <x v="1"/>
    <n v="2025"/>
    <s v="Low Sales"/>
  </r>
  <r>
    <s v="C6301"/>
    <x v="3"/>
    <d v="2024-05-03T00:00:00"/>
    <n v="7"/>
    <n v="41.71"/>
    <s v="Customer C6301"/>
    <x v="1"/>
    <x v="0"/>
    <x v="4"/>
    <n v="291.97000000000003"/>
    <x v="10"/>
    <n v="2024"/>
    <s v="Low Sales"/>
  </r>
  <r>
    <s v="C2621"/>
    <x v="2"/>
    <d v="2025-02-01T00:00:00"/>
    <n v="2"/>
    <n v="740.52"/>
    <s v="Customer C2621"/>
    <x v="0"/>
    <x v="4"/>
    <x v="4"/>
    <n v="1481.04"/>
    <x v="5"/>
    <n v="2025"/>
    <s v="Low Sales"/>
  </r>
  <r>
    <s v="C1754"/>
    <x v="3"/>
    <d v="2023-02-12T00:00:00"/>
    <n v="4"/>
    <n v="213.16"/>
    <s v="Customer C1754"/>
    <x v="2"/>
    <x v="3"/>
    <x v="3"/>
    <n v="852.64"/>
    <x v="5"/>
    <n v="2023"/>
    <s v="Low Sales"/>
  </r>
  <r>
    <s v="C3813"/>
    <x v="2"/>
    <d v="2025-04-06T00:00:00"/>
    <n v="8"/>
    <n v="651.37"/>
    <s v="Customer C3813"/>
    <x v="1"/>
    <x v="2"/>
    <x v="1"/>
    <n v="5210.96"/>
    <x v="3"/>
    <n v="2025"/>
    <s v="High Sales"/>
  </r>
  <r>
    <s v="C9267"/>
    <x v="4"/>
    <d v="2023-12-02T00:00:00"/>
    <n v="3"/>
    <n v="409.39"/>
    <s v="Customer C9267"/>
    <x v="0"/>
    <x v="0"/>
    <x v="1"/>
    <n v="1228.17"/>
    <x v="8"/>
    <n v="2023"/>
    <s v="Low Sales"/>
  </r>
  <r>
    <s v="C2327"/>
    <x v="0"/>
    <d v="2024-10-21T00:00:00"/>
    <n v="7"/>
    <n v="501.04"/>
    <s v="Customer C2327"/>
    <x v="2"/>
    <x v="2"/>
    <x v="0"/>
    <n v="3507.28"/>
    <x v="9"/>
    <n v="2024"/>
    <s v="High Sales"/>
  </r>
  <r>
    <s v="C1314"/>
    <x v="4"/>
    <d v="2023-12-18T00:00:00"/>
    <n v="8"/>
    <n v="419.04"/>
    <s v="Customer C1314"/>
    <x v="2"/>
    <x v="1"/>
    <x v="1"/>
    <n v="3352.32"/>
    <x v="8"/>
    <n v="2023"/>
    <s v="High Sales"/>
  </r>
  <r>
    <s v="C1889"/>
    <x v="0"/>
    <d v="2023-07-29T00:00:00"/>
    <n v="6"/>
    <n v="412.16"/>
    <s v="Customer C1889"/>
    <x v="2"/>
    <x v="3"/>
    <x v="1"/>
    <n v="2472.96"/>
    <x v="11"/>
    <n v="2023"/>
    <s v="High Sales"/>
  </r>
  <r>
    <s v="C6777"/>
    <x v="5"/>
    <d v="2024-11-08T00:00:00"/>
    <n v="3"/>
    <n v="244.2"/>
    <s v="Customer C6777"/>
    <x v="1"/>
    <x v="4"/>
    <x v="0"/>
    <n v="732.59999999999991"/>
    <x v="7"/>
    <n v="2024"/>
    <s v="Low Sales"/>
  </r>
  <r>
    <s v="C6551"/>
    <x v="0"/>
    <d v="2023-01-13T00:00:00"/>
    <n v="7"/>
    <n v="113.4"/>
    <s v="Customer C6551"/>
    <x v="1"/>
    <x v="0"/>
    <x v="1"/>
    <n v="793.80000000000007"/>
    <x v="6"/>
    <n v="2023"/>
    <s v="Low Sales"/>
  </r>
  <r>
    <s v="C7143"/>
    <x v="6"/>
    <d v="2023-09-02T00:00:00"/>
    <n v="8"/>
    <n v="242.59"/>
    <s v="Customer C7143"/>
    <x v="0"/>
    <x v="1"/>
    <x v="1"/>
    <n v="1940.72"/>
    <x v="2"/>
    <n v="2023"/>
    <s v="Low Sales"/>
  </r>
  <r>
    <s v="C5363"/>
    <x v="6"/>
    <d v="2024-05-16T00:00:00"/>
    <n v="7"/>
    <n v="626.07000000000005"/>
    <s v="Customer C5363"/>
    <x v="0"/>
    <x v="2"/>
    <x v="2"/>
    <n v="4382.4900000000007"/>
    <x v="10"/>
    <n v="2024"/>
    <s v="High Sales"/>
  </r>
  <r>
    <s v="C5730"/>
    <x v="0"/>
    <d v="2023-08-06T00:00:00"/>
    <n v="6"/>
    <n v="705.92"/>
    <s v="Customer C5730"/>
    <x v="0"/>
    <x v="2"/>
    <x v="4"/>
    <n v="4235.5200000000004"/>
    <x v="4"/>
    <n v="2023"/>
    <s v="High Sales"/>
  </r>
  <r>
    <s v="C5550"/>
    <x v="0"/>
    <d v="2025-05-06T00:00:00"/>
    <n v="4"/>
    <n v="683.24"/>
    <s v="Customer C5550"/>
    <x v="0"/>
    <x v="0"/>
    <x v="4"/>
    <n v="2732.96"/>
    <x v="10"/>
    <n v="2025"/>
    <s v="High Sales"/>
  </r>
  <r>
    <s v="C6979"/>
    <x v="5"/>
    <d v="2024-04-21T00:00:00"/>
    <n v="1"/>
    <n v="99.7"/>
    <s v="Customer C6979"/>
    <x v="1"/>
    <x v="3"/>
    <x v="2"/>
    <n v="99.7"/>
    <x v="3"/>
    <n v="2024"/>
    <s v="Low Sales"/>
  </r>
  <r>
    <s v="C5017"/>
    <x v="4"/>
    <d v="2025-03-05T00:00:00"/>
    <n v="7"/>
    <n v="699.91"/>
    <s v="Customer C5017"/>
    <x v="0"/>
    <x v="0"/>
    <x v="4"/>
    <n v="4899.37"/>
    <x v="0"/>
    <n v="2025"/>
    <s v="High Sales"/>
  </r>
  <r>
    <s v="C3761"/>
    <x v="5"/>
    <d v="2024-11-10T00:00:00"/>
    <n v="2"/>
    <n v="162.74"/>
    <s v="Customer C3761"/>
    <x v="0"/>
    <x v="0"/>
    <x v="2"/>
    <n v="325.48"/>
    <x v="7"/>
    <n v="2024"/>
    <s v="Low Sales"/>
  </r>
  <r>
    <s v="C1882"/>
    <x v="6"/>
    <d v="2023-11-23T00:00:00"/>
    <n v="6"/>
    <n v="101.6"/>
    <s v="Customer C1882"/>
    <x v="0"/>
    <x v="0"/>
    <x v="4"/>
    <n v="609.59999999999991"/>
    <x v="7"/>
    <n v="2023"/>
    <s v="Low Sales"/>
  </r>
  <r>
    <s v="C6028"/>
    <x v="6"/>
    <d v="2024-01-24T00:00:00"/>
    <n v="1"/>
    <n v="729.15"/>
    <s v="Customer C6028"/>
    <x v="0"/>
    <x v="2"/>
    <x v="1"/>
    <n v="729.15"/>
    <x v="6"/>
    <n v="2024"/>
    <s v="Low Sales"/>
  </r>
  <r>
    <s v="C7325"/>
    <x v="1"/>
    <d v="2025-03-23T00:00:00"/>
    <n v="6"/>
    <n v="316.60000000000002"/>
    <s v="Customer C7325"/>
    <x v="2"/>
    <x v="4"/>
    <x v="3"/>
    <n v="1899.6"/>
    <x v="0"/>
    <n v="2025"/>
    <s v="Low Sales"/>
  </r>
  <r>
    <s v="C4555"/>
    <x v="2"/>
    <d v="2025-03-06T00:00:00"/>
    <n v="7"/>
    <n v="115.44"/>
    <s v="Customer C4555"/>
    <x v="0"/>
    <x v="2"/>
    <x v="0"/>
    <n v="808.07999999999993"/>
    <x v="0"/>
    <n v="2025"/>
    <s v="Low Sales"/>
  </r>
  <r>
    <s v="C2231"/>
    <x v="5"/>
    <d v="2024-03-02T00:00:00"/>
    <n v="5"/>
    <n v="698.24"/>
    <s v="Customer C2231"/>
    <x v="0"/>
    <x v="1"/>
    <x v="2"/>
    <n v="3491.2"/>
    <x v="0"/>
    <n v="2024"/>
    <s v="High Sales"/>
  </r>
  <r>
    <s v="C6997"/>
    <x v="2"/>
    <d v="2024-11-07T00:00:00"/>
    <n v="5"/>
    <n v="536.15"/>
    <s v="Customer C6997"/>
    <x v="1"/>
    <x v="3"/>
    <x v="3"/>
    <n v="2680.75"/>
    <x v="7"/>
    <n v="2024"/>
    <s v="High Sales"/>
  </r>
  <r>
    <s v="C5781"/>
    <x v="0"/>
    <d v="2024-03-27T00:00:00"/>
    <n v="4"/>
    <n v="155.35"/>
    <s v="Customer C5781"/>
    <x v="2"/>
    <x v="4"/>
    <x v="2"/>
    <n v="621.4"/>
    <x v="0"/>
    <n v="2024"/>
    <s v="Low Sales"/>
  </r>
  <r>
    <s v="C8244"/>
    <x v="5"/>
    <d v="2024-12-05T00:00:00"/>
    <n v="7"/>
    <n v="408.12"/>
    <s v="Customer C8244"/>
    <x v="1"/>
    <x v="0"/>
    <x v="4"/>
    <n v="2856.84"/>
    <x v="8"/>
    <n v="2024"/>
    <s v="High Sales"/>
  </r>
  <r>
    <s v="C2062"/>
    <x v="3"/>
    <d v="2023-08-14T00:00:00"/>
    <n v="8"/>
    <n v="223.96"/>
    <s v="Customer C2062"/>
    <x v="2"/>
    <x v="3"/>
    <x v="2"/>
    <n v="1791.68"/>
    <x v="4"/>
    <n v="2023"/>
    <s v="Low Sales"/>
  </r>
  <r>
    <s v="C8254"/>
    <x v="0"/>
    <d v="2024-05-12T00:00:00"/>
    <n v="8"/>
    <n v="126.49"/>
    <s v="Customer C8254"/>
    <x v="1"/>
    <x v="0"/>
    <x v="4"/>
    <n v="1011.92"/>
    <x v="10"/>
    <n v="2024"/>
    <s v="Low Sales"/>
  </r>
  <r>
    <s v="C3635"/>
    <x v="4"/>
    <d v="2024-06-24T00:00:00"/>
    <n v="3"/>
    <n v="194.63"/>
    <s v="Customer C3635"/>
    <x v="1"/>
    <x v="0"/>
    <x v="0"/>
    <n v="583.89"/>
    <x v="1"/>
    <n v="2024"/>
    <s v="Low Sales"/>
  </r>
  <r>
    <s v="C4681"/>
    <x v="1"/>
    <d v="2023-05-03T00:00:00"/>
    <n v="6"/>
    <n v="779.23"/>
    <s v="Customer C4681"/>
    <x v="2"/>
    <x v="1"/>
    <x v="4"/>
    <n v="4675.38"/>
    <x v="10"/>
    <n v="2023"/>
    <s v="High Sales"/>
  </r>
  <r>
    <s v="C9032"/>
    <x v="5"/>
    <d v="2024-01-16T00:00:00"/>
    <n v="5"/>
    <n v="711.73"/>
    <s v="Customer C9032"/>
    <x v="1"/>
    <x v="1"/>
    <x v="0"/>
    <n v="3558.65"/>
    <x v="6"/>
    <n v="2024"/>
    <s v="High Sales"/>
  </r>
  <r>
    <s v="C3924"/>
    <x v="5"/>
    <d v="2024-07-25T00:00:00"/>
    <n v="3"/>
    <n v="24.41"/>
    <s v="Customer C3924"/>
    <x v="2"/>
    <x v="1"/>
    <x v="3"/>
    <n v="73.23"/>
    <x v="11"/>
    <n v="2024"/>
    <s v="Low Sales"/>
  </r>
  <r>
    <s v="C4649"/>
    <x v="1"/>
    <d v="2024-05-24T00:00:00"/>
    <n v="1"/>
    <n v="621.01"/>
    <s v="Customer C4649"/>
    <x v="2"/>
    <x v="4"/>
    <x v="0"/>
    <n v="621.01"/>
    <x v="10"/>
    <n v="2024"/>
    <s v="Low Sales"/>
  </r>
  <r>
    <s v="C8318"/>
    <x v="1"/>
    <d v="2023-02-06T00:00:00"/>
    <n v="7"/>
    <n v="770.7"/>
    <s v="Customer C8318"/>
    <x v="2"/>
    <x v="3"/>
    <x v="0"/>
    <n v="5394.9000000000005"/>
    <x v="5"/>
    <n v="2023"/>
    <s v="High Sales"/>
  </r>
  <r>
    <s v="C4601"/>
    <x v="4"/>
    <d v="2023-01-29T00:00:00"/>
    <n v="2"/>
    <n v="748.38"/>
    <s v="Customer C4601"/>
    <x v="0"/>
    <x v="3"/>
    <x v="4"/>
    <n v="1496.76"/>
    <x v="6"/>
    <n v="2023"/>
    <s v="Low Sales"/>
  </r>
  <r>
    <s v="C1108"/>
    <x v="0"/>
    <d v="2025-03-16T00:00:00"/>
    <n v="4"/>
    <n v="589.85"/>
    <s v="Customer C1108"/>
    <x v="1"/>
    <x v="1"/>
    <x v="1"/>
    <n v="2359.4"/>
    <x v="0"/>
    <n v="2025"/>
    <s v="High Sales"/>
  </r>
  <r>
    <s v="C9164"/>
    <x v="5"/>
    <d v="2023-02-19T00:00:00"/>
    <n v="3"/>
    <n v="38.57"/>
    <s v="Customer C9164"/>
    <x v="1"/>
    <x v="0"/>
    <x v="3"/>
    <n v="115.71"/>
    <x v="5"/>
    <n v="2023"/>
    <s v="Low Sales"/>
  </r>
  <r>
    <s v="C6283"/>
    <x v="4"/>
    <d v="2023-07-29T00:00:00"/>
    <n v="6"/>
    <n v="536.55999999999995"/>
    <s v="Customer C6283"/>
    <x v="2"/>
    <x v="2"/>
    <x v="2"/>
    <n v="3219.36"/>
    <x v="11"/>
    <n v="2023"/>
    <s v="High Sales"/>
  </r>
  <r>
    <s v="C9569"/>
    <x v="3"/>
    <d v="2023-01-12T00:00:00"/>
    <n v="6"/>
    <n v="799.91"/>
    <s v="Customer C9569"/>
    <x v="0"/>
    <x v="2"/>
    <x v="2"/>
    <n v="4799.46"/>
    <x v="6"/>
    <n v="2023"/>
    <s v="High Sales"/>
  </r>
  <r>
    <s v="C2935"/>
    <x v="4"/>
    <d v="2023-08-09T00:00:00"/>
    <n v="3"/>
    <n v="646.65"/>
    <s v="Customer C2935"/>
    <x v="0"/>
    <x v="0"/>
    <x v="2"/>
    <n v="1939.95"/>
    <x v="4"/>
    <n v="2023"/>
    <s v="Low Sales"/>
  </r>
  <r>
    <s v="C6117"/>
    <x v="0"/>
    <d v="2024-10-07T00:00:00"/>
    <n v="1"/>
    <n v="87.28"/>
    <s v="Customer C6117"/>
    <x v="1"/>
    <x v="0"/>
    <x v="1"/>
    <n v="87.28"/>
    <x v="9"/>
    <n v="2024"/>
    <s v="Low Sales"/>
  </r>
  <r>
    <s v="C7903"/>
    <x v="1"/>
    <d v="2023-09-14T00:00:00"/>
    <n v="7"/>
    <n v="693.18"/>
    <s v="Customer C7903"/>
    <x v="0"/>
    <x v="0"/>
    <x v="3"/>
    <n v="4852.2599999999993"/>
    <x v="2"/>
    <n v="2023"/>
    <s v="High Sales"/>
  </r>
  <r>
    <s v="C2838"/>
    <x v="6"/>
    <d v="2024-03-20T00:00:00"/>
    <n v="7"/>
    <n v="584.78"/>
    <s v="Customer C2838"/>
    <x v="1"/>
    <x v="4"/>
    <x v="0"/>
    <n v="4093.46"/>
    <x v="0"/>
    <n v="2024"/>
    <s v="High Sales"/>
  </r>
  <r>
    <s v="C4971"/>
    <x v="2"/>
    <d v="2023-07-01T00:00:00"/>
    <n v="3"/>
    <n v="98.62"/>
    <s v="Customer C4971"/>
    <x v="0"/>
    <x v="4"/>
    <x v="0"/>
    <n v="295.86"/>
    <x v="11"/>
    <n v="2023"/>
    <s v="Low Sales"/>
  </r>
  <r>
    <s v="C4852"/>
    <x v="5"/>
    <d v="2024-08-10T00:00:00"/>
    <n v="2"/>
    <n v="299.45999999999998"/>
    <s v="Customer C4852"/>
    <x v="1"/>
    <x v="3"/>
    <x v="1"/>
    <n v="598.91999999999996"/>
    <x v="4"/>
    <n v="2024"/>
    <s v="Low Sales"/>
  </r>
  <r>
    <s v="C4650"/>
    <x v="6"/>
    <d v="2024-12-19T00:00:00"/>
    <n v="5"/>
    <n v="172.17"/>
    <s v="Customer C4650"/>
    <x v="1"/>
    <x v="3"/>
    <x v="2"/>
    <n v="860.84999999999991"/>
    <x v="8"/>
    <n v="2024"/>
    <s v="Low Sales"/>
  </r>
  <r>
    <s v="C4414"/>
    <x v="4"/>
    <d v="2025-06-20T00:00:00"/>
    <n v="1"/>
    <n v="220.45"/>
    <s v="Customer C4414"/>
    <x v="0"/>
    <x v="4"/>
    <x v="1"/>
    <n v="220.45"/>
    <x v="1"/>
    <n v="2025"/>
    <s v="Low Sales"/>
  </r>
  <r>
    <s v="C4969"/>
    <x v="4"/>
    <d v="2024-07-07T00:00:00"/>
    <n v="4"/>
    <n v="77.31"/>
    <s v="Customer C4969"/>
    <x v="1"/>
    <x v="3"/>
    <x v="1"/>
    <n v="309.24"/>
    <x v="11"/>
    <n v="2024"/>
    <s v="Low Sales"/>
  </r>
  <r>
    <s v="C6707"/>
    <x v="5"/>
    <d v="2024-05-24T00:00:00"/>
    <n v="8"/>
    <n v="594.75"/>
    <s v="Customer C6707"/>
    <x v="0"/>
    <x v="3"/>
    <x v="4"/>
    <n v="4758"/>
    <x v="10"/>
    <n v="2024"/>
    <s v="High Sales"/>
  </r>
  <r>
    <s v="C5406"/>
    <x v="3"/>
    <d v="2023-06-03T00:00:00"/>
    <n v="7"/>
    <n v="346.05"/>
    <s v="Customer C5406"/>
    <x v="1"/>
    <x v="3"/>
    <x v="0"/>
    <n v="2422.35"/>
    <x v="1"/>
    <n v="2023"/>
    <s v="High Sales"/>
  </r>
  <r>
    <s v="C1393"/>
    <x v="6"/>
    <d v="2024-12-15T00:00:00"/>
    <n v="4"/>
    <n v="169.16"/>
    <s v="Customer C1393"/>
    <x v="1"/>
    <x v="2"/>
    <x v="0"/>
    <n v="676.64"/>
    <x v="8"/>
    <n v="2024"/>
    <s v="Low Sales"/>
  </r>
  <r>
    <s v="C8486"/>
    <x v="6"/>
    <d v="2023-04-02T00:00:00"/>
    <n v="2"/>
    <n v="289.02"/>
    <s v="Customer C8486"/>
    <x v="2"/>
    <x v="1"/>
    <x v="3"/>
    <n v="578.04"/>
    <x v="3"/>
    <n v="2023"/>
    <s v="Low Sales"/>
  </r>
  <r>
    <s v="C7366"/>
    <x v="6"/>
    <d v="2024-05-03T00:00:00"/>
    <n v="8"/>
    <n v="258.83999999999997"/>
    <s v="Customer C7366"/>
    <x v="2"/>
    <x v="2"/>
    <x v="3"/>
    <n v="2070.7199999999998"/>
    <x v="10"/>
    <n v="2024"/>
    <s v="High Sales"/>
  </r>
  <r>
    <s v="C2317"/>
    <x v="3"/>
    <d v="2025-05-21T00:00:00"/>
    <n v="1"/>
    <n v="52.91"/>
    <s v="Customer C2317"/>
    <x v="1"/>
    <x v="4"/>
    <x v="1"/>
    <n v="52.91"/>
    <x v="10"/>
    <n v="2025"/>
    <s v="Low Sales"/>
  </r>
  <r>
    <s v="C6789"/>
    <x v="5"/>
    <d v="2023-08-01T00:00:00"/>
    <n v="6"/>
    <n v="633.4"/>
    <s v="Customer C6789"/>
    <x v="0"/>
    <x v="0"/>
    <x v="3"/>
    <n v="3800.4"/>
    <x v="4"/>
    <n v="2023"/>
    <s v="High Sales"/>
  </r>
  <r>
    <s v="C7884"/>
    <x v="0"/>
    <d v="2024-09-12T00:00:00"/>
    <n v="1"/>
    <n v="417.04"/>
    <s v="Customer C7884"/>
    <x v="0"/>
    <x v="3"/>
    <x v="1"/>
    <n v="417.04"/>
    <x v="2"/>
    <n v="2024"/>
    <s v="Low Sales"/>
  </r>
  <r>
    <s v="C9268"/>
    <x v="2"/>
    <d v="2023-01-17T00:00:00"/>
    <n v="3"/>
    <n v="199.86"/>
    <s v="Customer C9268"/>
    <x v="1"/>
    <x v="4"/>
    <x v="3"/>
    <n v="599.58000000000004"/>
    <x v="6"/>
    <n v="2023"/>
    <s v="Low Sales"/>
  </r>
  <r>
    <s v="C2980"/>
    <x v="3"/>
    <d v="2023-03-05T00:00:00"/>
    <n v="2"/>
    <n v="523.38"/>
    <s v="Customer C2980"/>
    <x v="2"/>
    <x v="2"/>
    <x v="1"/>
    <n v="1046.76"/>
    <x v="0"/>
    <n v="2023"/>
    <s v="Low Sales"/>
  </r>
  <r>
    <s v="C4214"/>
    <x v="1"/>
    <d v="2024-07-13T00:00:00"/>
    <n v="8"/>
    <n v="598.48"/>
    <s v="Customer C4214"/>
    <x v="2"/>
    <x v="1"/>
    <x v="0"/>
    <n v="4787.84"/>
    <x v="11"/>
    <n v="2024"/>
    <s v="High Sales"/>
  </r>
  <r>
    <s v="C5977"/>
    <x v="0"/>
    <d v="2024-10-03T00:00:00"/>
    <n v="8"/>
    <n v="645.74"/>
    <s v="Customer C5977"/>
    <x v="0"/>
    <x v="3"/>
    <x v="4"/>
    <n v="5165.92"/>
    <x v="9"/>
    <n v="2024"/>
    <s v="High Sales"/>
  </r>
  <r>
    <s v="C2188"/>
    <x v="2"/>
    <d v="2024-02-06T00:00:00"/>
    <n v="3"/>
    <n v="107.73"/>
    <s v="Customer C2188"/>
    <x v="2"/>
    <x v="4"/>
    <x v="4"/>
    <n v="323.19"/>
    <x v="5"/>
    <n v="2024"/>
    <s v="Low Sales"/>
  </r>
  <r>
    <s v="C7787"/>
    <x v="5"/>
    <d v="2023-09-05T00:00:00"/>
    <n v="5"/>
    <n v="192.39"/>
    <s v="Customer C7787"/>
    <x v="1"/>
    <x v="3"/>
    <x v="0"/>
    <n v="961.94999999999993"/>
    <x v="2"/>
    <n v="2023"/>
    <s v="Low Sales"/>
  </r>
  <r>
    <s v="C7754"/>
    <x v="4"/>
    <d v="2024-12-02T00:00:00"/>
    <n v="2"/>
    <n v="479.88"/>
    <s v="Customer C7754"/>
    <x v="1"/>
    <x v="3"/>
    <x v="4"/>
    <n v="959.76"/>
    <x v="8"/>
    <n v="2024"/>
    <s v="Low Sales"/>
  </r>
  <r>
    <s v="C9406"/>
    <x v="3"/>
    <d v="2023-12-11T00:00:00"/>
    <n v="8"/>
    <n v="785.49"/>
    <s v="Customer C9406"/>
    <x v="0"/>
    <x v="0"/>
    <x v="4"/>
    <n v="6283.92"/>
    <x v="8"/>
    <n v="2023"/>
    <s v="High Sales"/>
  </r>
  <r>
    <s v="C7514"/>
    <x v="4"/>
    <d v="2025-05-25T00:00:00"/>
    <n v="5"/>
    <n v="323.88"/>
    <s v="Customer C7514"/>
    <x v="2"/>
    <x v="3"/>
    <x v="3"/>
    <n v="1619.4"/>
    <x v="10"/>
    <n v="2025"/>
    <s v="Low Sales"/>
  </r>
  <r>
    <s v="C8668"/>
    <x v="4"/>
    <d v="2023-12-01T00:00:00"/>
    <n v="2"/>
    <n v="86.85"/>
    <s v="Customer C8668"/>
    <x v="1"/>
    <x v="1"/>
    <x v="0"/>
    <n v="173.7"/>
    <x v="8"/>
    <n v="2023"/>
    <s v="Low Sales"/>
  </r>
  <r>
    <s v="C2464"/>
    <x v="1"/>
    <d v="2023-08-09T00:00:00"/>
    <n v="2"/>
    <n v="531.20000000000005"/>
    <s v="Customer C2464"/>
    <x v="1"/>
    <x v="2"/>
    <x v="4"/>
    <n v="1062.4000000000001"/>
    <x v="4"/>
    <n v="2023"/>
    <s v="Low Sales"/>
  </r>
  <r>
    <s v="C2018"/>
    <x v="5"/>
    <d v="2023-10-15T00:00:00"/>
    <n v="7"/>
    <n v="692.66"/>
    <s v="Customer C2018"/>
    <x v="0"/>
    <x v="1"/>
    <x v="4"/>
    <n v="4848.62"/>
    <x v="9"/>
    <n v="2023"/>
    <s v="High Sales"/>
  </r>
  <r>
    <s v="C3182"/>
    <x v="6"/>
    <d v="2025-02-19T00:00:00"/>
    <n v="7"/>
    <n v="209.87"/>
    <s v="Customer C3182"/>
    <x v="2"/>
    <x v="4"/>
    <x v="3"/>
    <n v="1469.09"/>
    <x v="5"/>
    <n v="2025"/>
    <s v="Low Sales"/>
  </r>
  <r>
    <s v="C3832"/>
    <x v="6"/>
    <d v="2023-11-28T00:00:00"/>
    <n v="3"/>
    <n v="450.18"/>
    <s v="Customer C3832"/>
    <x v="2"/>
    <x v="3"/>
    <x v="0"/>
    <n v="1350.54"/>
    <x v="7"/>
    <n v="2023"/>
    <s v="Low Sales"/>
  </r>
  <r>
    <s v="C1365"/>
    <x v="1"/>
    <d v="2023-05-12T00:00:00"/>
    <n v="3"/>
    <n v="484.69"/>
    <s v="Customer C1365"/>
    <x v="0"/>
    <x v="0"/>
    <x v="1"/>
    <n v="1454.07"/>
    <x v="10"/>
    <n v="2023"/>
    <s v="Low Sales"/>
  </r>
  <r>
    <s v="C8781"/>
    <x v="5"/>
    <d v="2024-02-26T00:00:00"/>
    <n v="5"/>
    <n v="664.51"/>
    <s v="Customer C8781"/>
    <x v="0"/>
    <x v="4"/>
    <x v="0"/>
    <n v="3322.55"/>
    <x v="5"/>
    <n v="2024"/>
    <s v="High Sales"/>
  </r>
  <r>
    <s v="C5806"/>
    <x v="5"/>
    <d v="2023-11-02T00:00:00"/>
    <n v="2"/>
    <n v="237.63"/>
    <s v="Customer C5806"/>
    <x v="0"/>
    <x v="4"/>
    <x v="1"/>
    <n v="475.26"/>
    <x v="7"/>
    <n v="2023"/>
    <s v="Low Sales"/>
  </r>
  <r>
    <s v="C8014"/>
    <x v="3"/>
    <d v="2025-02-28T00:00:00"/>
    <n v="7"/>
    <n v="666.21"/>
    <s v="Customer C8014"/>
    <x v="2"/>
    <x v="2"/>
    <x v="3"/>
    <n v="4663.47"/>
    <x v="5"/>
    <n v="2025"/>
    <s v="High Sales"/>
  </r>
  <r>
    <s v="C7248"/>
    <x v="2"/>
    <d v="2024-04-15T00:00:00"/>
    <n v="6"/>
    <n v="278.04000000000002"/>
    <s v="Customer C7248"/>
    <x v="0"/>
    <x v="1"/>
    <x v="1"/>
    <n v="1668.24"/>
    <x v="3"/>
    <n v="2024"/>
    <s v="Low Sales"/>
  </r>
  <r>
    <s v="C3658"/>
    <x v="2"/>
    <d v="2023-12-16T00:00:00"/>
    <n v="3"/>
    <n v="603.87"/>
    <s v="Customer C3658"/>
    <x v="1"/>
    <x v="3"/>
    <x v="2"/>
    <n v="1811.61"/>
    <x v="8"/>
    <n v="2023"/>
    <s v="Low Sales"/>
  </r>
  <r>
    <s v="C9157"/>
    <x v="4"/>
    <d v="2024-05-13T00:00:00"/>
    <n v="3"/>
    <n v="321.86"/>
    <s v="Customer C9157"/>
    <x v="1"/>
    <x v="0"/>
    <x v="1"/>
    <n v="965.58"/>
    <x v="10"/>
    <n v="2024"/>
    <s v="Low Sales"/>
  </r>
  <r>
    <s v="C2319"/>
    <x v="4"/>
    <d v="2025-03-15T00:00:00"/>
    <n v="6"/>
    <n v="78.52"/>
    <s v="Customer C2319"/>
    <x v="2"/>
    <x v="2"/>
    <x v="3"/>
    <n v="471.12"/>
    <x v="0"/>
    <n v="2025"/>
    <s v="Low Sales"/>
  </r>
  <r>
    <s v="C3852"/>
    <x v="6"/>
    <d v="2024-03-02T00:00:00"/>
    <n v="7"/>
    <n v="212.84"/>
    <s v="Customer C3852"/>
    <x v="2"/>
    <x v="0"/>
    <x v="3"/>
    <n v="1489.88"/>
    <x v="0"/>
    <n v="2024"/>
    <s v="Low Sales"/>
  </r>
  <r>
    <s v="C5045"/>
    <x v="4"/>
    <d v="2025-03-31T00:00:00"/>
    <n v="3"/>
    <n v="316.77999999999997"/>
    <s v="Customer C5045"/>
    <x v="2"/>
    <x v="3"/>
    <x v="4"/>
    <n v="950.33999999999992"/>
    <x v="0"/>
    <n v="2025"/>
    <s v="Low Sales"/>
  </r>
  <r>
    <s v="C4992"/>
    <x v="4"/>
    <d v="2024-12-20T00:00:00"/>
    <n v="6"/>
    <n v="665.94"/>
    <s v="Customer C4992"/>
    <x v="0"/>
    <x v="3"/>
    <x v="4"/>
    <n v="3995.64"/>
    <x v="8"/>
    <n v="2024"/>
    <s v="High Sales"/>
  </r>
  <r>
    <s v="C1547"/>
    <x v="2"/>
    <d v="2024-05-18T00:00:00"/>
    <n v="2"/>
    <n v="307.39"/>
    <s v="Customer C1547"/>
    <x v="1"/>
    <x v="1"/>
    <x v="1"/>
    <n v="614.78"/>
    <x v="10"/>
    <n v="2024"/>
    <s v="Low Sales"/>
  </r>
  <r>
    <s v="C5585"/>
    <x v="1"/>
    <d v="2024-02-11T00:00:00"/>
    <n v="7"/>
    <n v="482.42"/>
    <s v="Customer C5585"/>
    <x v="2"/>
    <x v="1"/>
    <x v="2"/>
    <n v="3376.94"/>
    <x v="5"/>
    <n v="2024"/>
    <s v="High Sales"/>
  </r>
  <r>
    <s v="C1688"/>
    <x v="0"/>
    <d v="2023-05-06T00:00:00"/>
    <n v="5"/>
    <n v="726.07"/>
    <s v="Customer C1688"/>
    <x v="0"/>
    <x v="2"/>
    <x v="3"/>
    <n v="3630.35"/>
    <x v="10"/>
    <n v="2023"/>
    <s v="High Sales"/>
  </r>
  <r>
    <s v="C2751"/>
    <x v="1"/>
    <d v="2025-01-28T00:00:00"/>
    <n v="5"/>
    <n v="433.22"/>
    <s v="Customer C2751"/>
    <x v="1"/>
    <x v="4"/>
    <x v="1"/>
    <n v="2166.1"/>
    <x v="6"/>
    <n v="2025"/>
    <s v="High Sales"/>
  </r>
  <r>
    <s v="C9808"/>
    <x v="6"/>
    <d v="2025-04-09T00:00:00"/>
    <n v="2"/>
    <n v="461.16"/>
    <s v="Customer C9808"/>
    <x v="0"/>
    <x v="3"/>
    <x v="0"/>
    <n v="922.32"/>
    <x v="3"/>
    <n v="2025"/>
    <s v="Low Sales"/>
  </r>
  <r>
    <s v="C3111"/>
    <x v="2"/>
    <d v="2023-04-21T00:00:00"/>
    <n v="7"/>
    <n v="230.88"/>
    <s v="Customer C3111"/>
    <x v="2"/>
    <x v="0"/>
    <x v="4"/>
    <n v="1616.16"/>
    <x v="3"/>
    <n v="2023"/>
    <s v="Low Sales"/>
  </r>
  <r>
    <s v="C7924"/>
    <x v="5"/>
    <d v="2023-08-07T00:00:00"/>
    <n v="5"/>
    <n v="793.17"/>
    <s v="Customer C7924"/>
    <x v="1"/>
    <x v="0"/>
    <x v="1"/>
    <n v="3965.85"/>
    <x v="4"/>
    <n v="2023"/>
    <s v="High Sales"/>
  </r>
  <r>
    <s v="C1455"/>
    <x v="1"/>
    <d v="2024-05-09T00:00:00"/>
    <n v="1"/>
    <n v="152.57"/>
    <s v="Customer C1455"/>
    <x v="2"/>
    <x v="1"/>
    <x v="1"/>
    <n v="152.57"/>
    <x v="10"/>
    <n v="2024"/>
    <s v="Low Sales"/>
  </r>
  <r>
    <s v="C3335"/>
    <x v="1"/>
    <d v="2025-05-20T00:00:00"/>
    <n v="5"/>
    <n v="282.24"/>
    <s v="Customer C3335"/>
    <x v="2"/>
    <x v="0"/>
    <x v="0"/>
    <n v="1411.2"/>
    <x v="10"/>
    <n v="2025"/>
    <s v="Low Sales"/>
  </r>
  <r>
    <s v="C4830"/>
    <x v="5"/>
    <d v="2023-02-22T00:00:00"/>
    <n v="4"/>
    <n v="389.11"/>
    <s v="Customer C4830"/>
    <x v="1"/>
    <x v="0"/>
    <x v="4"/>
    <n v="1556.44"/>
    <x v="5"/>
    <n v="2023"/>
    <s v="Low Sales"/>
  </r>
  <r>
    <s v="C7291"/>
    <x v="5"/>
    <d v="2023-04-17T00:00:00"/>
    <n v="2"/>
    <n v="477"/>
    <s v="Customer C7291"/>
    <x v="0"/>
    <x v="2"/>
    <x v="3"/>
    <n v="954"/>
    <x v="3"/>
    <n v="2023"/>
    <s v="Low Sales"/>
  </r>
  <r>
    <s v="C9685"/>
    <x v="0"/>
    <d v="2023-08-21T00:00:00"/>
    <n v="7"/>
    <n v="790.77"/>
    <s v="Customer C9685"/>
    <x v="0"/>
    <x v="2"/>
    <x v="1"/>
    <n v="5535.3899999999994"/>
    <x v="4"/>
    <n v="2023"/>
    <s v="High Sales"/>
  </r>
  <r>
    <s v="C2063"/>
    <x v="0"/>
    <d v="2024-08-16T00:00:00"/>
    <n v="4"/>
    <n v="234.89"/>
    <s v="Customer C2063"/>
    <x v="0"/>
    <x v="0"/>
    <x v="0"/>
    <n v="939.56"/>
    <x v="4"/>
    <n v="2024"/>
    <s v="Low Sales"/>
  </r>
  <r>
    <s v="C1854"/>
    <x v="4"/>
    <d v="2023-08-12T00:00:00"/>
    <n v="2"/>
    <n v="226.03"/>
    <s v="Customer C1854"/>
    <x v="1"/>
    <x v="0"/>
    <x v="4"/>
    <n v="452.06"/>
    <x v="4"/>
    <n v="2023"/>
    <s v="Low Sales"/>
  </r>
  <r>
    <s v="C2782"/>
    <x v="0"/>
    <d v="2025-06-05T00:00:00"/>
    <n v="1"/>
    <n v="522.42999999999995"/>
    <s v="Customer C2782"/>
    <x v="1"/>
    <x v="4"/>
    <x v="1"/>
    <n v="522.42999999999995"/>
    <x v="1"/>
    <n v="2025"/>
    <s v="Low Sales"/>
  </r>
  <r>
    <s v="C1736"/>
    <x v="4"/>
    <d v="2025-06-20T00:00:00"/>
    <n v="4"/>
    <n v="219.75"/>
    <s v="Customer C1736"/>
    <x v="0"/>
    <x v="0"/>
    <x v="1"/>
    <n v="879"/>
    <x v="1"/>
    <n v="2025"/>
    <s v="Low Sales"/>
  </r>
  <r>
    <s v="C4889"/>
    <x v="5"/>
    <d v="2024-11-18T00:00:00"/>
    <n v="3"/>
    <n v="660.31"/>
    <s v="Customer C4889"/>
    <x v="0"/>
    <x v="2"/>
    <x v="0"/>
    <n v="1980.93"/>
    <x v="7"/>
    <n v="2024"/>
    <s v="Low Sales"/>
  </r>
  <r>
    <s v="C1094"/>
    <x v="0"/>
    <d v="2023-07-07T00:00:00"/>
    <n v="6"/>
    <n v="699.01"/>
    <s v="Customer C1094"/>
    <x v="2"/>
    <x v="2"/>
    <x v="4"/>
    <n v="4194.0599999999986"/>
    <x v="11"/>
    <n v="2023"/>
    <s v="High Sales"/>
  </r>
  <r>
    <s v="C3431"/>
    <x v="2"/>
    <d v="2025-01-15T00:00:00"/>
    <n v="1"/>
    <n v="212.45"/>
    <s v="Customer C3431"/>
    <x v="2"/>
    <x v="3"/>
    <x v="0"/>
    <n v="212.45"/>
    <x v="6"/>
    <n v="2025"/>
    <s v="Low Sales"/>
  </r>
  <r>
    <s v="C5311"/>
    <x v="4"/>
    <d v="2025-01-16T00:00:00"/>
    <n v="8"/>
    <n v="793.36"/>
    <s v="Customer C5311"/>
    <x v="0"/>
    <x v="2"/>
    <x v="1"/>
    <n v="6346.88"/>
    <x v="6"/>
    <n v="2025"/>
    <s v="High Sales"/>
  </r>
  <r>
    <s v="C3477"/>
    <x v="2"/>
    <d v="2024-11-17T00:00:00"/>
    <n v="1"/>
    <n v="776.01"/>
    <s v="Customer C3477"/>
    <x v="1"/>
    <x v="4"/>
    <x v="3"/>
    <n v="776.01"/>
    <x v="7"/>
    <n v="2024"/>
    <s v="Low Sales"/>
  </r>
  <r>
    <s v="C1135"/>
    <x v="3"/>
    <d v="2023-03-05T00:00:00"/>
    <n v="7"/>
    <n v="409.52"/>
    <s v="Customer C1135"/>
    <x v="0"/>
    <x v="2"/>
    <x v="0"/>
    <n v="2866.64"/>
    <x v="0"/>
    <n v="2023"/>
    <s v="High Sales"/>
  </r>
  <r>
    <s v="C5034"/>
    <x v="1"/>
    <d v="2023-04-27T00:00:00"/>
    <n v="4"/>
    <n v="43.41"/>
    <s v="Customer C5034"/>
    <x v="1"/>
    <x v="4"/>
    <x v="2"/>
    <n v="173.64"/>
    <x v="3"/>
    <n v="2023"/>
    <s v="Low Sales"/>
  </r>
  <r>
    <s v="C7561"/>
    <x v="1"/>
    <d v="2023-11-06T00:00:00"/>
    <n v="6"/>
    <n v="256.17"/>
    <s v="Customer C7561"/>
    <x v="2"/>
    <x v="0"/>
    <x v="3"/>
    <n v="1537.02"/>
    <x v="7"/>
    <n v="2023"/>
    <s v="Low Sales"/>
  </r>
  <r>
    <s v="C2651"/>
    <x v="6"/>
    <d v="2025-04-11T00:00:00"/>
    <n v="3"/>
    <n v="367.65"/>
    <s v="Customer C2651"/>
    <x v="1"/>
    <x v="0"/>
    <x v="4"/>
    <n v="1102.95"/>
    <x v="3"/>
    <n v="2025"/>
    <s v="Low Sales"/>
  </r>
  <r>
    <s v="C6785"/>
    <x v="0"/>
    <d v="2023-04-14T00:00:00"/>
    <n v="2"/>
    <n v="524.03"/>
    <s v="Customer C6785"/>
    <x v="0"/>
    <x v="1"/>
    <x v="2"/>
    <n v="1048.06"/>
    <x v="3"/>
    <n v="2023"/>
    <s v="Low Sales"/>
  </r>
  <r>
    <s v="C5605"/>
    <x v="5"/>
    <d v="2023-01-25T00:00:00"/>
    <n v="8"/>
    <n v="570.88"/>
    <s v="Customer C5605"/>
    <x v="1"/>
    <x v="0"/>
    <x v="2"/>
    <n v="4567.04"/>
    <x v="6"/>
    <n v="2023"/>
    <s v="High Sales"/>
  </r>
  <r>
    <s v="C6735"/>
    <x v="3"/>
    <d v="2024-02-20T00:00:00"/>
    <n v="7"/>
    <n v="580.99"/>
    <s v="Customer C6735"/>
    <x v="2"/>
    <x v="0"/>
    <x v="0"/>
    <n v="4066.93"/>
    <x v="5"/>
    <n v="2024"/>
    <s v="High Sales"/>
  </r>
  <r>
    <s v="C5106"/>
    <x v="1"/>
    <d v="2025-04-09T00:00:00"/>
    <n v="1"/>
    <n v="102.28"/>
    <s v="Customer C5106"/>
    <x v="1"/>
    <x v="1"/>
    <x v="3"/>
    <n v="102.28"/>
    <x v="3"/>
    <n v="2025"/>
    <s v="Low Sales"/>
  </r>
  <r>
    <s v="C5050"/>
    <x v="5"/>
    <d v="2023-10-20T00:00:00"/>
    <n v="1"/>
    <n v="6.06"/>
    <s v="Customer C5050"/>
    <x v="0"/>
    <x v="0"/>
    <x v="2"/>
    <n v="6.06"/>
    <x v="9"/>
    <n v="2023"/>
    <s v="Low Sales"/>
  </r>
  <r>
    <s v="C8297"/>
    <x v="5"/>
    <d v="2025-06-17T00:00:00"/>
    <n v="5"/>
    <n v="663.64"/>
    <s v="Customer C8297"/>
    <x v="2"/>
    <x v="3"/>
    <x v="2"/>
    <n v="3318.2"/>
    <x v="1"/>
    <n v="2025"/>
    <s v="High Sales"/>
  </r>
  <r>
    <s v="C4142"/>
    <x v="2"/>
    <d v="2024-05-11T00:00:00"/>
    <n v="3"/>
    <n v="418.46"/>
    <s v="Customer C4142"/>
    <x v="1"/>
    <x v="1"/>
    <x v="1"/>
    <n v="1255.3800000000001"/>
    <x v="10"/>
    <n v="2024"/>
    <s v="Low Sales"/>
  </r>
  <r>
    <s v="C3720"/>
    <x v="5"/>
    <d v="2023-12-16T00:00:00"/>
    <n v="7"/>
    <n v="361.11"/>
    <s v="Customer C3720"/>
    <x v="0"/>
    <x v="4"/>
    <x v="3"/>
    <n v="2527.77"/>
    <x v="8"/>
    <n v="2023"/>
    <s v="High Sales"/>
  </r>
  <r>
    <s v="C8033"/>
    <x v="4"/>
    <d v="2023-04-29T00:00:00"/>
    <n v="7"/>
    <n v="791.44"/>
    <s v="Customer C8033"/>
    <x v="0"/>
    <x v="1"/>
    <x v="0"/>
    <n v="5540.08"/>
    <x v="3"/>
    <n v="2023"/>
    <s v="High Sales"/>
  </r>
  <r>
    <s v="C6915"/>
    <x v="2"/>
    <d v="2023-05-09T00:00:00"/>
    <n v="1"/>
    <n v="259.45"/>
    <s v="Customer C6915"/>
    <x v="0"/>
    <x v="3"/>
    <x v="2"/>
    <n v="259.45"/>
    <x v="10"/>
    <n v="2023"/>
    <s v="Low Sales"/>
  </r>
  <r>
    <s v="C3459"/>
    <x v="4"/>
    <d v="2024-10-31T00:00:00"/>
    <n v="4"/>
    <n v="458.7"/>
    <s v="Customer C3459"/>
    <x v="2"/>
    <x v="2"/>
    <x v="0"/>
    <n v="1834.8"/>
    <x v="9"/>
    <n v="2024"/>
    <s v="Low Sales"/>
  </r>
  <r>
    <s v="C5012"/>
    <x v="5"/>
    <d v="2023-10-29T00:00:00"/>
    <n v="2"/>
    <n v="71.75"/>
    <s v="Customer C5012"/>
    <x v="1"/>
    <x v="0"/>
    <x v="0"/>
    <n v="143.5"/>
    <x v="9"/>
    <n v="2023"/>
    <s v="Low Sales"/>
  </r>
  <r>
    <s v="C4933"/>
    <x v="4"/>
    <d v="2025-04-18T00:00:00"/>
    <n v="3"/>
    <n v="728.49"/>
    <s v="Customer C4933"/>
    <x v="0"/>
    <x v="2"/>
    <x v="1"/>
    <n v="2185.4699999999998"/>
    <x v="3"/>
    <n v="2025"/>
    <s v="High Sales"/>
  </r>
  <r>
    <s v="C1280"/>
    <x v="3"/>
    <d v="2023-11-12T00:00:00"/>
    <n v="6"/>
    <n v="764.64"/>
    <s v="Customer C1280"/>
    <x v="0"/>
    <x v="3"/>
    <x v="0"/>
    <n v="4587.84"/>
    <x v="7"/>
    <n v="2023"/>
    <s v="High Sales"/>
  </r>
  <r>
    <s v="C2553"/>
    <x v="0"/>
    <d v="2023-02-14T00:00:00"/>
    <n v="2"/>
    <n v="354.76"/>
    <s v="Customer C2553"/>
    <x v="0"/>
    <x v="1"/>
    <x v="1"/>
    <n v="709.52"/>
    <x v="5"/>
    <n v="2023"/>
    <s v="Low Sales"/>
  </r>
  <r>
    <s v="C7897"/>
    <x v="6"/>
    <d v="2023-09-14T00:00:00"/>
    <n v="7"/>
    <n v="431.76"/>
    <s v="Customer C7897"/>
    <x v="0"/>
    <x v="1"/>
    <x v="0"/>
    <n v="3022.32"/>
    <x v="2"/>
    <n v="2023"/>
    <s v="High Sales"/>
  </r>
  <r>
    <s v="C9295"/>
    <x v="6"/>
    <d v="2024-10-31T00:00:00"/>
    <n v="3"/>
    <n v="326.95999999999998"/>
    <s v="Customer C9295"/>
    <x v="2"/>
    <x v="1"/>
    <x v="2"/>
    <n v="980.87999999999988"/>
    <x v="9"/>
    <n v="2024"/>
    <s v="Low Sales"/>
  </r>
  <r>
    <s v="C9329"/>
    <x v="5"/>
    <d v="2025-02-07T00:00:00"/>
    <n v="7"/>
    <n v="58.87"/>
    <s v="Customer C9329"/>
    <x v="0"/>
    <x v="1"/>
    <x v="3"/>
    <n v="412.09"/>
    <x v="5"/>
    <n v="2025"/>
    <s v="Low Sales"/>
  </r>
  <r>
    <s v="C7543"/>
    <x v="5"/>
    <d v="2023-02-25T00:00:00"/>
    <n v="8"/>
    <n v="304.66000000000003"/>
    <s v="Customer C7543"/>
    <x v="2"/>
    <x v="4"/>
    <x v="1"/>
    <n v="2437.2800000000002"/>
    <x v="5"/>
    <n v="2023"/>
    <s v="High Sales"/>
  </r>
  <r>
    <s v="C2501"/>
    <x v="1"/>
    <d v="2025-02-22T00:00:00"/>
    <n v="8"/>
    <n v="371.46"/>
    <s v="Customer C2501"/>
    <x v="0"/>
    <x v="3"/>
    <x v="2"/>
    <n v="2971.68"/>
    <x v="5"/>
    <n v="2025"/>
    <s v="High Sales"/>
  </r>
  <r>
    <s v="C9680"/>
    <x v="2"/>
    <d v="2023-01-03T00:00:00"/>
    <n v="4"/>
    <n v="576.95000000000005"/>
    <s v="Customer C9680"/>
    <x v="0"/>
    <x v="0"/>
    <x v="4"/>
    <n v="2307.8000000000002"/>
    <x v="6"/>
    <n v="2023"/>
    <s v="High Sales"/>
  </r>
  <r>
    <s v="C6653"/>
    <x v="4"/>
    <d v="2025-04-07T00:00:00"/>
    <n v="6"/>
    <n v="46.22"/>
    <s v="Customer C6653"/>
    <x v="1"/>
    <x v="1"/>
    <x v="0"/>
    <n v="277.32"/>
    <x v="3"/>
    <n v="2025"/>
    <s v="Low Sales"/>
  </r>
  <r>
    <s v="C6852"/>
    <x v="5"/>
    <d v="2023-12-10T00:00:00"/>
    <n v="1"/>
    <n v="766.75"/>
    <s v="Customer C6852"/>
    <x v="1"/>
    <x v="1"/>
    <x v="2"/>
    <n v="766.75"/>
    <x v="8"/>
    <n v="2023"/>
    <s v="Low Sales"/>
  </r>
  <r>
    <s v="C7590"/>
    <x v="2"/>
    <d v="2023-11-01T00:00:00"/>
    <n v="3"/>
    <n v="569.72"/>
    <s v="Customer C7590"/>
    <x v="2"/>
    <x v="0"/>
    <x v="2"/>
    <n v="1709.16"/>
    <x v="7"/>
    <n v="2023"/>
    <s v="Low Sales"/>
  </r>
  <r>
    <s v="C8789"/>
    <x v="3"/>
    <d v="2023-11-15T00:00:00"/>
    <n v="2"/>
    <n v="399.01"/>
    <s v="Customer C8789"/>
    <x v="2"/>
    <x v="1"/>
    <x v="4"/>
    <n v="798.02"/>
    <x v="7"/>
    <n v="2023"/>
    <s v="Low Sales"/>
  </r>
  <r>
    <s v="C3218"/>
    <x v="0"/>
    <d v="2023-07-21T00:00:00"/>
    <n v="8"/>
    <n v="159.84"/>
    <s v="Customer C3218"/>
    <x v="2"/>
    <x v="1"/>
    <x v="1"/>
    <n v="1278.72"/>
    <x v="11"/>
    <n v="2023"/>
    <s v="Low Sales"/>
  </r>
  <r>
    <s v="C2091"/>
    <x v="6"/>
    <d v="2025-01-05T00:00:00"/>
    <n v="3"/>
    <n v="55.83"/>
    <s v="Customer C2091"/>
    <x v="1"/>
    <x v="2"/>
    <x v="3"/>
    <n v="167.49"/>
    <x v="6"/>
    <n v="2025"/>
    <s v="Low Sales"/>
  </r>
  <r>
    <s v="C6326"/>
    <x v="6"/>
    <d v="2025-01-26T00:00:00"/>
    <n v="8"/>
    <n v="751.94"/>
    <s v="Customer C6326"/>
    <x v="2"/>
    <x v="3"/>
    <x v="1"/>
    <n v="6015.52"/>
    <x v="6"/>
    <n v="2025"/>
    <s v="High Sales"/>
  </r>
  <r>
    <s v="C5519"/>
    <x v="5"/>
    <d v="2024-05-24T00:00:00"/>
    <n v="8"/>
    <n v="408.05"/>
    <s v="Customer C5519"/>
    <x v="0"/>
    <x v="2"/>
    <x v="4"/>
    <n v="3264.4"/>
    <x v="10"/>
    <n v="2024"/>
    <s v="High Sales"/>
  </r>
  <r>
    <s v="C3603"/>
    <x v="4"/>
    <d v="2024-06-11T00:00:00"/>
    <n v="2"/>
    <n v="355.97"/>
    <s v="Customer C3603"/>
    <x v="0"/>
    <x v="0"/>
    <x v="1"/>
    <n v="711.94"/>
    <x v="1"/>
    <n v="2024"/>
    <s v="Low Sales"/>
  </r>
  <r>
    <s v="C4906"/>
    <x v="2"/>
    <d v="2025-01-14T00:00:00"/>
    <n v="5"/>
    <n v="367.34"/>
    <s v="Customer C4906"/>
    <x v="1"/>
    <x v="2"/>
    <x v="4"/>
    <n v="1836.7"/>
    <x v="6"/>
    <n v="2025"/>
    <s v="Low Sales"/>
  </r>
  <r>
    <s v="C5329"/>
    <x v="5"/>
    <d v="2024-07-20T00:00:00"/>
    <n v="4"/>
    <n v="125.77"/>
    <s v="Customer C5329"/>
    <x v="0"/>
    <x v="1"/>
    <x v="3"/>
    <n v="503.08"/>
    <x v="11"/>
    <n v="2024"/>
    <s v="Low Sales"/>
  </r>
  <r>
    <s v="C7483"/>
    <x v="0"/>
    <d v="2023-06-21T00:00:00"/>
    <n v="2"/>
    <n v="748.75"/>
    <s v="Customer C7483"/>
    <x v="0"/>
    <x v="1"/>
    <x v="2"/>
    <n v="1497.5"/>
    <x v="1"/>
    <n v="2023"/>
    <s v="Low Sales"/>
  </r>
  <r>
    <s v="C2482"/>
    <x v="3"/>
    <d v="2025-05-14T00:00:00"/>
    <n v="6"/>
    <n v="474.95"/>
    <s v="Customer C2482"/>
    <x v="2"/>
    <x v="1"/>
    <x v="0"/>
    <n v="2849.7"/>
    <x v="10"/>
    <n v="2025"/>
    <s v="High Sales"/>
  </r>
  <r>
    <s v="C2081"/>
    <x v="2"/>
    <d v="2024-07-01T00:00:00"/>
    <n v="4"/>
    <n v="698.9"/>
    <s v="Customer C2081"/>
    <x v="2"/>
    <x v="2"/>
    <x v="2"/>
    <n v="2795.6"/>
    <x v="11"/>
    <n v="2024"/>
    <s v="High Sales"/>
  </r>
  <r>
    <s v="C7355"/>
    <x v="2"/>
    <d v="2023-09-29T00:00:00"/>
    <n v="8"/>
    <n v="136.12"/>
    <s v="Customer C7355"/>
    <x v="0"/>
    <x v="3"/>
    <x v="1"/>
    <n v="1088.96"/>
    <x v="2"/>
    <n v="2023"/>
    <s v="Low Sales"/>
  </r>
  <r>
    <s v="C3901"/>
    <x v="1"/>
    <d v="2023-03-11T00:00:00"/>
    <n v="8"/>
    <n v="641.99"/>
    <s v="Customer C3901"/>
    <x v="1"/>
    <x v="4"/>
    <x v="1"/>
    <n v="5135.92"/>
    <x v="0"/>
    <n v="2023"/>
    <s v="High Sales"/>
  </r>
  <r>
    <s v="C4057"/>
    <x v="2"/>
    <d v="2024-01-23T00:00:00"/>
    <n v="2"/>
    <n v="451.32"/>
    <s v="Customer C4057"/>
    <x v="0"/>
    <x v="3"/>
    <x v="3"/>
    <n v="902.64"/>
    <x v="6"/>
    <n v="2024"/>
    <s v="Low Sales"/>
  </r>
  <r>
    <s v="C4367"/>
    <x v="6"/>
    <d v="2023-10-24T00:00:00"/>
    <n v="4"/>
    <n v="240.87"/>
    <s v="Customer C4367"/>
    <x v="2"/>
    <x v="1"/>
    <x v="3"/>
    <n v="963.48"/>
    <x v="9"/>
    <n v="2023"/>
    <s v="Low Sales"/>
  </r>
  <r>
    <s v="C3257"/>
    <x v="6"/>
    <d v="2023-08-30T00:00:00"/>
    <n v="3"/>
    <n v="274.81"/>
    <s v="Customer C3257"/>
    <x v="1"/>
    <x v="0"/>
    <x v="2"/>
    <n v="824.43000000000006"/>
    <x v="4"/>
    <n v="2023"/>
    <s v="Low Sales"/>
  </r>
  <r>
    <s v="C9040"/>
    <x v="6"/>
    <d v="2023-01-02T00:00:00"/>
    <n v="5"/>
    <n v="138.97"/>
    <s v="Customer C9040"/>
    <x v="1"/>
    <x v="1"/>
    <x v="3"/>
    <n v="694.85"/>
    <x v="6"/>
    <n v="2023"/>
    <s v="Low Sales"/>
  </r>
  <r>
    <s v="C3450"/>
    <x v="1"/>
    <d v="2023-03-14T00:00:00"/>
    <n v="1"/>
    <n v="261.2"/>
    <s v="Customer C3450"/>
    <x v="1"/>
    <x v="2"/>
    <x v="0"/>
    <n v="261.2"/>
    <x v="0"/>
    <n v="2023"/>
    <s v="Low Sales"/>
  </r>
  <r>
    <s v="C2562"/>
    <x v="5"/>
    <d v="2025-04-27T00:00:00"/>
    <n v="6"/>
    <n v="529.47"/>
    <s v="Customer C2562"/>
    <x v="0"/>
    <x v="3"/>
    <x v="0"/>
    <n v="3176.82"/>
    <x v="3"/>
    <n v="2025"/>
    <s v="High Sales"/>
  </r>
  <r>
    <s v="C8579"/>
    <x v="0"/>
    <d v="2024-03-18T00:00:00"/>
    <n v="2"/>
    <n v="57.91"/>
    <s v="Customer C8579"/>
    <x v="2"/>
    <x v="4"/>
    <x v="1"/>
    <n v="115.82"/>
    <x v="0"/>
    <n v="2024"/>
    <s v="Low Sales"/>
  </r>
  <r>
    <s v="C8285"/>
    <x v="0"/>
    <d v="2025-01-27T00:00:00"/>
    <n v="3"/>
    <n v="383.22"/>
    <s v="Customer C8285"/>
    <x v="0"/>
    <x v="0"/>
    <x v="1"/>
    <n v="1149.6600000000001"/>
    <x v="6"/>
    <n v="2025"/>
    <s v="Low Sales"/>
  </r>
  <r>
    <s v="C4222"/>
    <x v="2"/>
    <d v="2025-01-31T00:00:00"/>
    <n v="5"/>
    <n v="224.11"/>
    <s v="Customer C4222"/>
    <x v="2"/>
    <x v="1"/>
    <x v="0"/>
    <n v="1120.55"/>
    <x v="6"/>
    <n v="2025"/>
    <s v="Low Sales"/>
  </r>
  <r>
    <s v="C5693"/>
    <x v="6"/>
    <d v="2023-10-28T00:00:00"/>
    <n v="8"/>
    <n v="238.87"/>
    <s v="Customer C5693"/>
    <x v="2"/>
    <x v="0"/>
    <x v="2"/>
    <n v="1910.96"/>
    <x v="9"/>
    <n v="2023"/>
    <s v="Low Sales"/>
  </r>
  <r>
    <s v="C9853"/>
    <x v="2"/>
    <d v="2024-05-12T00:00:00"/>
    <n v="4"/>
    <n v="360.23"/>
    <s v="Customer C9853"/>
    <x v="0"/>
    <x v="4"/>
    <x v="2"/>
    <n v="1440.92"/>
    <x v="10"/>
    <n v="2024"/>
    <s v="Low Sales"/>
  </r>
  <r>
    <s v="C1150"/>
    <x v="6"/>
    <d v="2024-02-22T00:00:00"/>
    <n v="4"/>
    <n v="131.62"/>
    <s v="Customer C1150"/>
    <x v="2"/>
    <x v="0"/>
    <x v="0"/>
    <n v="526.48"/>
    <x v="5"/>
    <n v="2024"/>
    <s v="Low Sales"/>
  </r>
  <r>
    <s v="C1819"/>
    <x v="6"/>
    <d v="2023-11-06T00:00:00"/>
    <n v="4"/>
    <n v="674.33"/>
    <s v="Customer C1819"/>
    <x v="0"/>
    <x v="4"/>
    <x v="1"/>
    <n v="2697.32"/>
    <x v="7"/>
    <n v="2023"/>
    <s v="High Sales"/>
  </r>
  <r>
    <s v="C3517"/>
    <x v="2"/>
    <d v="2024-05-12T00:00:00"/>
    <n v="8"/>
    <n v="537.45000000000005"/>
    <s v="Customer C3517"/>
    <x v="0"/>
    <x v="2"/>
    <x v="3"/>
    <n v="4299.6000000000004"/>
    <x v="10"/>
    <n v="2024"/>
    <s v="High Sales"/>
  </r>
  <r>
    <s v="C9564"/>
    <x v="1"/>
    <d v="2024-12-30T00:00:00"/>
    <n v="3"/>
    <n v="77.03"/>
    <s v="Customer C9564"/>
    <x v="2"/>
    <x v="0"/>
    <x v="3"/>
    <n v="231.09"/>
    <x v="8"/>
    <n v="2024"/>
    <s v="Low Sales"/>
  </r>
  <r>
    <s v="C5235"/>
    <x v="1"/>
    <d v="2024-07-21T00:00:00"/>
    <n v="5"/>
    <n v="681.74"/>
    <s v="Customer C5235"/>
    <x v="0"/>
    <x v="2"/>
    <x v="3"/>
    <n v="3408.7"/>
    <x v="11"/>
    <n v="2024"/>
    <s v="High Sales"/>
  </r>
  <r>
    <s v="C2011"/>
    <x v="6"/>
    <d v="2025-01-19T00:00:00"/>
    <n v="3"/>
    <n v="75.62"/>
    <s v="Customer C2011"/>
    <x v="2"/>
    <x v="0"/>
    <x v="2"/>
    <n v="226.86"/>
    <x v="6"/>
    <n v="2025"/>
    <s v="Low Sales"/>
  </r>
  <r>
    <s v="C2680"/>
    <x v="5"/>
    <d v="2024-01-04T00:00:00"/>
    <n v="8"/>
    <n v="538.29"/>
    <s v="Customer C2680"/>
    <x v="1"/>
    <x v="4"/>
    <x v="0"/>
    <n v="4306.32"/>
    <x v="6"/>
    <n v="2024"/>
    <s v="High Sales"/>
  </r>
  <r>
    <s v="C9129"/>
    <x v="5"/>
    <d v="2024-06-06T00:00:00"/>
    <n v="4"/>
    <n v="411.44"/>
    <s v="Customer C9129"/>
    <x v="0"/>
    <x v="4"/>
    <x v="3"/>
    <n v="1645.76"/>
    <x v="1"/>
    <n v="2024"/>
    <s v="Low Sales"/>
  </r>
  <r>
    <s v="C8030"/>
    <x v="4"/>
    <d v="2025-03-06T00:00:00"/>
    <n v="6"/>
    <n v="452.54"/>
    <s v="Customer C8030"/>
    <x v="0"/>
    <x v="3"/>
    <x v="3"/>
    <n v="2715.24"/>
    <x v="0"/>
    <n v="2025"/>
    <s v="High Sales"/>
  </r>
  <r>
    <s v="C5365"/>
    <x v="1"/>
    <d v="2023-07-14T00:00:00"/>
    <n v="4"/>
    <n v="510.62"/>
    <s v="Customer C5365"/>
    <x v="0"/>
    <x v="3"/>
    <x v="4"/>
    <n v="2042.48"/>
    <x v="11"/>
    <n v="2023"/>
    <s v="High Sales"/>
  </r>
  <r>
    <s v="C1982"/>
    <x v="3"/>
    <d v="2023-11-17T00:00:00"/>
    <n v="1"/>
    <n v="729.26"/>
    <s v="Customer C1982"/>
    <x v="0"/>
    <x v="1"/>
    <x v="2"/>
    <n v="729.26"/>
    <x v="7"/>
    <n v="2023"/>
    <s v="Low Sales"/>
  </r>
  <r>
    <s v="C4605"/>
    <x v="2"/>
    <d v="2024-04-19T00:00:00"/>
    <n v="8"/>
    <n v="387.1"/>
    <s v="Customer C4605"/>
    <x v="1"/>
    <x v="4"/>
    <x v="4"/>
    <n v="3096.8"/>
    <x v="3"/>
    <n v="2024"/>
    <s v="High Sales"/>
  </r>
  <r>
    <s v="C8577"/>
    <x v="6"/>
    <d v="2024-07-13T00:00:00"/>
    <n v="1"/>
    <n v="47.53"/>
    <s v="Customer C8577"/>
    <x v="1"/>
    <x v="3"/>
    <x v="3"/>
    <n v="47.53"/>
    <x v="11"/>
    <n v="2024"/>
    <s v="Low Sales"/>
  </r>
  <r>
    <s v="C2073"/>
    <x v="1"/>
    <d v="2024-06-30T00:00:00"/>
    <n v="2"/>
    <n v="272.08"/>
    <s v="Customer C2073"/>
    <x v="1"/>
    <x v="2"/>
    <x v="1"/>
    <n v="544.16"/>
    <x v="1"/>
    <n v="2024"/>
    <s v="Low Sales"/>
  </r>
  <r>
    <s v="C7149"/>
    <x v="5"/>
    <d v="2023-07-31T00:00:00"/>
    <n v="6"/>
    <n v="553.39"/>
    <s v="Customer C7149"/>
    <x v="0"/>
    <x v="3"/>
    <x v="0"/>
    <n v="3320.34"/>
    <x v="11"/>
    <n v="2023"/>
    <s v="High Sales"/>
  </r>
  <r>
    <s v="C7155"/>
    <x v="1"/>
    <d v="2025-05-27T00:00:00"/>
    <n v="3"/>
    <n v="109.9"/>
    <s v="Customer C7155"/>
    <x v="1"/>
    <x v="0"/>
    <x v="0"/>
    <n v="329.7"/>
    <x v="10"/>
    <n v="2025"/>
    <s v="Low Sales"/>
  </r>
  <r>
    <s v="C9960"/>
    <x v="4"/>
    <d v="2024-03-04T00:00:00"/>
    <n v="4"/>
    <n v="787.22"/>
    <s v="Customer C9960"/>
    <x v="2"/>
    <x v="3"/>
    <x v="3"/>
    <n v="3148.88"/>
    <x v="0"/>
    <n v="2024"/>
    <s v="High Sales"/>
  </r>
  <r>
    <s v="C7552"/>
    <x v="4"/>
    <d v="2024-01-28T00:00:00"/>
    <n v="1"/>
    <n v="42.76"/>
    <s v="Customer C7552"/>
    <x v="0"/>
    <x v="3"/>
    <x v="0"/>
    <n v="42.76"/>
    <x v="6"/>
    <n v="2024"/>
    <s v="Low Sales"/>
  </r>
  <r>
    <s v="C8704"/>
    <x v="6"/>
    <d v="2024-12-19T00:00:00"/>
    <n v="2"/>
    <n v="406.23"/>
    <s v="Customer C8704"/>
    <x v="2"/>
    <x v="3"/>
    <x v="2"/>
    <n v="812.46"/>
    <x v="8"/>
    <n v="2024"/>
    <s v="Low Sales"/>
  </r>
  <r>
    <s v="C6344"/>
    <x v="2"/>
    <d v="2024-10-05T00:00:00"/>
    <n v="6"/>
    <n v="55.56"/>
    <s v="Customer C6344"/>
    <x v="2"/>
    <x v="1"/>
    <x v="2"/>
    <n v="333.36"/>
    <x v="9"/>
    <n v="2024"/>
    <s v="Low Sales"/>
  </r>
  <r>
    <s v="C6871"/>
    <x v="1"/>
    <d v="2023-05-27T00:00:00"/>
    <n v="2"/>
    <n v="541.28"/>
    <s v="Customer C6871"/>
    <x v="0"/>
    <x v="0"/>
    <x v="1"/>
    <n v="1082.56"/>
    <x v="10"/>
    <n v="2023"/>
    <s v="Low Sales"/>
  </r>
  <r>
    <s v="C3745"/>
    <x v="3"/>
    <d v="2023-11-04T00:00:00"/>
    <n v="8"/>
    <n v="45.93"/>
    <s v="Customer C3745"/>
    <x v="0"/>
    <x v="3"/>
    <x v="4"/>
    <n v="367.44"/>
    <x v="7"/>
    <n v="2023"/>
    <s v="Low Sales"/>
  </r>
  <r>
    <s v="C5767"/>
    <x v="2"/>
    <d v="2023-05-10T00:00:00"/>
    <n v="1"/>
    <n v="401.55"/>
    <s v="Customer C5767"/>
    <x v="0"/>
    <x v="2"/>
    <x v="2"/>
    <n v="401.55"/>
    <x v="10"/>
    <n v="2023"/>
    <s v="Low Sales"/>
  </r>
  <r>
    <s v="C6802"/>
    <x v="4"/>
    <d v="2024-10-07T00:00:00"/>
    <n v="8"/>
    <n v="129.57"/>
    <s v="Customer C6802"/>
    <x v="1"/>
    <x v="2"/>
    <x v="4"/>
    <n v="1036.56"/>
    <x v="9"/>
    <n v="2024"/>
    <s v="Low Sales"/>
  </r>
  <r>
    <s v="C1742"/>
    <x v="4"/>
    <d v="2024-12-30T00:00:00"/>
    <n v="7"/>
    <n v="188.89"/>
    <s v="Customer C1742"/>
    <x v="2"/>
    <x v="0"/>
    <x v="1"/>
    <n v="1322.23"/>
    <x v="8"/>
    <n v="2024"/>
    <s v="Low Sales"/>
  </r>
  <r>
    <s v="C1043"/>
    <x v="2"/>
    <d v="2025-05-05T00:00:00"/>
    <n v="1"/>
    <n v="743.33"/>
    <s v="Customer C1043"/>
    <x v="1"/>
    <x v="4"/>
    <x v="0"/>
    <n v="743.33"/>
    <x v="10"/>
    <n v="2025"/>
    <s v="Low Sales"/>
  </r>
  <r>
    <s v="C2431"/>
    <x v="5"/>
    <d v="2024-07-25T00:00:00"/>
    <n v="4"/>
    <n v="34.97"/>
    <s v="Customer C2431"/>
    <x v="2"/>
    <x v="0"/>
    <x v="0"/>
    <n v="139.88"/>
    <x v="11"/>
    <n v="2024"/>
    <s v="Low Sales"/>
  </r>
  <r>
    <s v="C5845"/>
    <x v="0"/>
    <d v="2023-05-09T00:00:00"/>
    <n v="7"/>
    <n v="475.33"/>
    <s v="Customer C5845"/>
    <x v="2"/>
    <x v="4"/>
    <x v="0"/>
    <n v="3327.31"/>
    <x v="10"/>
    <n v="2023"/>
    <s v="High Sales"/>
  </r>
  <r>
    <s v="C7254"/>
    <x v="2"/>
    <d v="2024-12-19T00:00:00"/>
    <n v="1"/>
    <n v="362.77"/>
    <s v="Customer C7254"/>
    <x v="2"/>
    <x v="0"/>
    <x v="0"/>
    <n v="362.77"/>
    <x v="8"/>
    <n v="2024"/>
    <s v="Low Sales"/>
  </r>
  <r>
    <s v="C1181"/>
    <x v="0"/>
    <d v="2024-09-04T00:00:00"/>
    <n v="3"/>
    <n v="259.60000000000002"/>
    <s v="Customer C1181"/>
    <x v="1"/>
    <x v="1"/>
    <x v="1"/>
    <n v="778.80000000000007"/>
    <x v="2"/>
    <n v="2024"/>
    <s v="Low Sales"/>
  </r>
  <r>
    <s v="C9486"/>
    <x v="0"/>
    <d v="2024-10-17T00:00:00"/>
    <n v="4"/>
    <n v="31.65"/>
    <s v="Customer C9486"/>
    <x v="2"/>
    <x v="2"/>
    <x v="0"/>
    <n v="126.6"/>
    <x v="9"/>
    <n v="2024"/>
    <s v="Low Sales"/>
  </r>
  <r>
    <s v="C3390"/>
    <x v="6"/>
    <d v="2023-12-08T00:00:00"/>
    <n v="6"/>
    <n v="479.41"/>
    <s v="Customer C3390"/>
    <x v="2"/>
    <x v="4"/>
    <x v="4"/>
    <n v="2876.46"/>
    <x v="8"/>
    <n v="2023"/>
    <s v="High Sales"/>
  </r>
  <r>
    <s v="C5695"/>
    <x v="0"/>
    <d v="2024-05-14T00:00:00"/>
    <n v="3"/>
    <n v="16.45"/>
    <s v="Customer C5695"/>
    <x v="2"/>
    <x v="3"/>
    <x v="1"/>
    <n v="49.349999999999987"/>
    <x v="10"/>
    <n v="2024"/>
    <s v="Low Sales"/>
  </r>
  <r>
    <s v="C6444"/>
    <x v="0"/>
    <d v="2023-08-17T00:00:00"/>
    <n v="2"/>
    <n v="58.06"/>
    <s v="Customer C6444"/>
    <x v="1"/>
    <x v="2"/>
    <x v="2"/>
    <n v="116.12"/>
    <x v="4"/>
    <n v="2023"/>
    <s v="Low Sales"/>
  </r>
  <r>
    <s v="C9742"/>
    <x v="5"/>
    <d v="2023-01-14T00:00:00"/>
    <n v="5"/>
    <n v="251.7"/>
    <s v="Customer C9742"/>
    <x v="0"/>
    <x v="4"/>
    <x v="4"/>
    <n v="1258.5"/>
    <x v="6"/>
    <n v="2023"/>
    <s v="Low Sales"/>
  </r>
  <r>
    <s v="C8021"/>
    <x v="2"/>
    <d v="2023-12-14T00:00:00"/>
    <n v="3"/>
    <n v="27.49"/>
    <s v="Customer C8021"/>
    <x v="0"/>
    <x v="3"/>
    <x v="3"/>
    <n v="82.47"/>
    <x v="8"/>
    <n v="2023"/>
    <s v="Low Sales"/>
  </r>
  <r>
    <s v="C2764"/>
    <x v="5"/>
    <d v="2024-12-01T00:00:00"/>
    <n v="7"/>
    <n v="419.9"/>
    <s v="Customer C2764"/>
    <x v="0"/>
    <x v="2"/>
    <x v="2"/>
    <n v="2939.3"/>
    <x v="8"/>
    <n v="2024"/>
    <s v="High Sales"/>
  </r>
  <r>
    <s v="C7272"/>
    <x v="0"/>
    <d v="2023-11-20T00:00:00"/>
    <n v="7"/>
    <n v="611.85"/>
    <s v="Customer C7272"/>
    <x v="2"/>
    <x v="2"/>
    <x v="3"/>
    <n v="4282.95"/>
    <x v="7"/>
    <n v="2023"/>
    <s v="High Sales"/>
  </r>
  <r>
    <s v="C9390"/>
    <x v="2"/>
    <d v="2023-03-08T00:00:00"/>
    <n v="3"/>
    <n v="693.46"/>
    <s v="Customer C9390"/>
    <x v="0"/>
    <x v="4"/>
    <x v="4"/>
    <n v="2080.38"/>
    <x v="0"/>
    <n v="2023"/>
    <s v="High Sales"/>
  </r>
  <r>
    <s v="C8762"/>
    <x v="1"/>
    <d v="2025-02-01T00:00:00"/>
    <n v="2"/>
    <n v="13.51"/>
    <s v="Customer C8762"/>
    <x v="2"/>
    <x v="1"/>
    <x v="4"/>
    <n v="27.02"/>
    <x v="5"/>
    <n v="2025"/>
    <s v="Low Sales"/>
  </r>
  <r>
    <s v="C8504"/>
    <x v="6"/>
    <d v="2025-02-13T00:00:00"/>
    <n v="4"/>
    <n v="548.59"/>
    <s v="Customer C8504"/>
    <x v="2"/>
    <x v="0"/>
    <x v="1"/>
    <n v="2194.36"/>
    <x v="5"/>
    <n v="2025"/>
    <s v="High Sales"/>
  </r>
  <r>
    <s v="C6343"/>
    <x v="1"/>
    <d v="2024-11-03T00:00:00"/>
    <n v="5"/>
    <n v="173.25"/>
    <s v="Customer C6343"/>
    <x v="1"/>
    <x v="0"/>
    <x v="1"/>
    <n v="866.25"/>
    <x v="7"/>
    <n v="2024"/>
    <s v="Low Sales"/>
  </r>
  <r>
    <s v="C2747"/>
    <x v="1"/>
    <d v="2024-06-15T00:00:00"/>
    <n v="2"/>
    <n v="456.19"/>
    <s v="Customer C2747"/>
    <x v="1"/>
    <x v="3"/>
    <x v="4"/>
    <n v="912.38"/>
    <x v="1"/>
    <n v="2024"/>
    <s v="Low Sales"/>
  </r>
  <r>
    <s v="C8299"/>
    <x v="3"/>
    <d v="2023-12-22T00:00:00"/>
    <n v="7"/>
    <n v="701.13"/>
    <s v="Customer C8299"/>
    <x v="0"/>
    <x v="0"/>
    <x v="1"/>
    <n v="4907.91"/>
    <x v="8"/>
    <n v="2023"/>
    <s v="High Sales"/>
  </r>
  <r>
    <s v="C1010"/>
    <x v="3"/>
    <d v="2023-06-13T00:00:00"/>
    <n v="3"/>
    <n v="786.46"/>
    <s v="Customer C1010"/>
    <x v="1"/>
    <x v="0"/>
    <x v="1"/>
    <n v="2359.38"/>
    <x v="1"/>
    <n v="2023"/>
    <s v="High Sales"/>
  </r>
  <r>
    <s v="C2008"/>
    <x v="5"/>
    <d v="2023-09-11T00:00:00"/>
    <n v="7"/>
    <n v="693.17"/>
    <s v="Customer C2008"/>
    <x v="2"/>
    <x v="2"/>
    <x v="4"/>
    <n v="4852.1899999999996"/>
    <x v="2"/>
    <n v="2023"/>
    <s v="High Sales"/>
  </r>
  <r>
    <s v="C5760"/>
    <x v="0"/>
    <d v="2023-06-04T00:00:00"/>
    <n v="8"/>
    <n v="661.37"/>
    <s v="Customer C5760"/>
    <x v="2"/>
    <x v="4"/>
    <x v="0"/>
    <n v="5290.96"/>
    <x v="1"/>
    <n v="2023"/>
    <s v="High Sales"/>
  </r>
  <r>
    <s v="C9923"/>
    <x v="5"/>
    <d v="2023-07-03T00:00:00"/>
    <n v="8"/>
    <n v="444.81"/>
    <s v="Customer C9923"/>
    <x v="0"/>
    <x v="1"/>
    <x v="0"/>
    <n v="3558.48"/>
    <x v="11"/>
    <n v="2023"/>
    <s v="High Sales"/>
  </r>
  <r>
    <s v="C7900"/>
    <x v="2"/>
    <d v="2023-02-14T00:00:00"/>
    <n v="6"/>
    <n v="372.68"/>
    <s v="Customer C7900"/>
    <x v="1"/>
    <x v="1"/>
    <x v="3"/>
    <n v="2236.08"/>
    <x v="5"/>
    <n v="2023"/>
    <s v="High Sales"/>
  </r>
  <r>
    <s v="C7895"/>
    <x v="6"/>
    <d v="2024-01-05T00:00:00"/>
    <n v="1"/>
    <n v="172.22"/>
    <s v="Customer C7895"/>
    <x v="1"/>
    <x v="4"/>
    <x v="0"/>
    <n v="172.22"/>
    <x v="6"/>
    <n v="2024"/>
    <s v="Low Sales"/>
  </r>
  <r>
    <s v="C3816"/>
    <x v="2"/>
    <d v="2024-07-03T00:00:00"/>
    <n v="2"/>
    <n v="238.52"/>
    <s v="Customer C3816"/>
    <x v="1"/>
    <x v="3"/>
    <x v="0"/>
    <n v="477.04"/>
    <x v="11"/>
    <n v="2024"/>
    <s v="Low Sales"/>
  </r>
  <r>
    <s v="C6385"/>
    <x v="1"/>
    <d v="2023-04-30T00:00:00"/>
    <n v="1"/>
    <n v="784.11"/>
    <s v="Customer C6385"/>
    <x v="1"/>
    <x v="1"/>
    <x v="3"/>
    <n v="784.11"/>
    <x v="3"/>
    <n v="2023"/>
    <s v="Low Sales"/>
  </r>
  <r>
    <s v="C8622"/>
    <x v="0"/>
    <d v="2025-01-07T00:00:00"/>
    <n v="7"/>
    <n v="111.51"/>
    <s v="Customer C8622"/>
    <x v="0"/>
    <x v="3"/>
    <x v="3"/>
    <n v="780.57"/>
    <x v="6"/>
    <n v="2025"/>
    <s v="Low Sales"/>
  </r>
  <r>
    <s v="C3407"/>
    <x v="5"/>
    <d v="2024-01-11T00:00:00"/>
    <n v="1"/>
    <n v="347.91"/>
    <s v="Customer C3407"/>
    <x v="2"/>
    <x v="1"/>
    <x v="3"/>
    <n v="347.91"/>
    <x v="6"/>
    <n v="2024"/>
    <s v="Low Sales"/>
  </r>
  <r>
    <s v="C6883"/>
    <x v="0"/>
    <d v="2024-08-27T00:00:00"/>
    <n v="6"/>
    <n v="793.19"/>
    <s v="Customer C6883"/>
    <x v="0"/>
    <x v="1"/>
    <x v="0"/>
    <n v="4759.1400000000003"/>
    <x v="4"/>
    <n v="2024"/>
    <s v="High Sales"/>
  </r>
  <r>
    <s v="C3054"/>
    <x v="4"/>
    <d v="2025-05-14T00:00:00"/>
    <n v="4"/>
    <n v="271.45"/>
    <s v="Customer C3054"/>
    <x v="1"/>
    <x v="1"/>
    <x v="2"/>
    <n v="1085.8"/>
    <x v="10"/>
    <n v="2025"/>
    <s v="Low Sales"/>
  </r>
  <r>
    <s v="C1299"/>
    <x v="6"/>
    <d v="2024-01-03T00:00:00"/>
    <n v="7"/>
    <n v="747.04"/>
    <s v="Customer C1299"/>
    <x v="1"/>
    <x v="3"/>
    <x v="2"/>
    <n v="5229.28"/>
    <x v="6"/>
    <n v="2024"/>
    <s v="High Sales"/>
  </r>
  <r>
    <s v="C1690"/>
    <x v="4"/>
    <d v="2025-06-17T00:00:00"/>
    <n v="6"/>
    <n v="250.37"/>
    <s v="Customer C1690"/>
    <x v="0"/>
    <x v="3"/>
    <x v="4"/>
    <n v="1502.22"/>
    <x v="1"/>
    <n v="2025"/>
    <s v="Low Sales"/>
  </r>
  <r>
    <s v="C2280"/>
    <x v="4"/>
    <d v="2024-12-30T00:00:00"/>
    <n v="1"/>
    <n v="585.36"/>
    <s v="Customer C2280"/>
    <x v="1"/>
    <x v="4"/>
    <x v="1"/>
    <n v="585.36"/>
    <x v="8"/>
    <n v="2024"/>
    <s v="Low Sales"/>
  </r>
  <r>
    <s v="C4107"/>
    <x v="3"/>
    <d v="2024-05-02T00:00:00"/>
    <n v="5"/>
    <n v="259.77"/>
    <s v="Customer C4107"/>
    <x v="0"/>
    <x v="1"/>
    <x v="0"/>
    <n v="1298.8499999999999"/>
    <x v="10"/>
    <n v="2024"/>
    <s v="Low Sales"/>
  </r>
  <r>
    <s v="C4778"/>
    <x v="4"/>
    <d v="2024-08-02T00:00:00"/>
    <n v="5"/>
    <n v="648.76"/>
    <s v="Customer C4778"/>
    <x v="1"/>
    <x v="3"/>
    <x v="1"/>
    <n v="3243.8"/>
    <x v="4"/>
    <n v="2024"/>
    <s v="High Sales"/>
  </r>
  <r>
    <s v="C6705"/>
    <x v="6"/>
    <d v="2023-04-10T00:00:00"/>
    <n v="1"/>
    <n v="770.68"/>
    <s v="Customer C6705"/>
    <x v="2"/>
    <x v="3"/>
    <x v="3"/>
    <n v="770.68"/>
    <x v="3"/>
    <n v="2023"/>
    <s v="Low Sales"/>
  </r>
  <r>
    <s v="C9052"/>
    <x v="3"/>
    <d v="2023-09-03T00:00:00"/>
    <n v="7"/>
    <n v="510.71"/>
    <s v="Customer C9052"/>
    <x v="0"/>
    <x v="0"/>
    <x v="0"/>
    <n v="3574.97"/>
    <x v="2"/>
    <n v="2023"/>
    <s v="High Sales"/>
  </r>
  <r>
    <s v="C3976"/>
    <x v="4"/>
    <d v="2024-09-08T00:00:00"/>
    <n v="1"/>
    <n v="64.81"/>
    <s v="Customer C3976"/>
    <x v="1"/>
    <x v="2"/>
    <x v="3"/>
    <n v="64.81"/>
    <x v="2"/>
    <n v="2024"/>
    <s v="Low Sales"/>
  </r>
  <r>
    <s v="C4670"/>
    <x v="1"/>
    <d v="2023-11-05T00:00:00"/>
    <n v="2"/>
    <n v="655.12"/>
    <s v="Customer C4670"/>
    <x v="2"/>
    <x v="3"/>
    <x v="1"/>
    <n v="1310.24"/>
    <x v="7"/>
    <n v="2023"/>
    <s v="Low Sales"/>
  </r>
  <r>
    <s v="C2841"/>
    <x v="6"/>
    <d v="2024-05-03T00:00:00"/>
    <n v="4"/>
    <n v="100.33"/>
    <s v="Customer C2841"/>
    <x v="2"/>
    <x v="3"/>
    <x v="4"/>
    <n v="401.32"/>
    <x v="10"/>
    <n v="2024"/>
    <s v="Low Sales"/>
  </r>
  <r>
    <s v="C2985"/>
    <x v="1"/>
    <d v="2024-03-07T00:00:00"/>
    <n v="6"/>
    <n v="216.18"/>
    <s v="Customer C2985"/>
    <x v="2"/>
    <x v="1"/>
    <x v="0"/>
    <n v="1297.08"/>
    <x v="0"/>
    <n v="2024"/>
    <s v="Low Sales"/>
  </r>
  <r>
    <s v="C9323"/>
    <x v="1"/>
    <d v="2024-09-18T00:00:00"/>
    <n v="7"/>
    <n v="416.11"/>
    <s v="Customer C9323"/>
    <x v="2"/>
    <x v="0"/>
    <x v="4"/>
    <n v="2912.77"/>
    <x v="2"/>
    <n v="2024"/>
    <s v="High Sales"/>
  </r>
  <r>
    <s v="C9332"/>
    <x v="6"/>
    <d v="2023-08-10T00:00:00"/>
    <n v="2"/>
    <n v="412.62"/>
    <s v="Customer C9332"/>
    <x v="0"/>
    <x v="2"/>
    <x v="1"/>
    <n v="825.24"/>
    <x v="4"/>
    <n v="2023"/>
    <s v="Low Sales"/>
  </r>
  <r>
    <s v="C2268"/>
    <x v="3"/>
    <d v="2023-03-27T00:00:00"/>
    <n v="5"/>
    <n v="453.66"/>
    <s v="Customer C2268"/>
    <x v="2"/>
    <x v="4"/>
    <x v="2"/>
    <n v="2268.3000000000002"/>
    <x v="0"/>
    <n v="2023"/>
    <s v="High Sales"/>
  </r>
  <r>
    <s v="C1528"/>
    <x v="1"/>
    <d v="2024-04-23T00:00:00"/>
    <n v="7"/>
    <n v="733.53"/>
    <s v="Customer C1528"/>
    <x v="1"/>
    <x v="1"/>
    <x v="1"/>
    <n v="5134.71"/>
    <x v="3"/>
    <n v="2024"/>
    <s v="High Sales"/>
  </r>
  <r>
    <s v="C7533"/>
    <x v="4"/>
    <d v="2023-05-07T00:00:00"/>
    <n v="6"/>
    <n v="71.05"/>
    <s v="Customer C7533"/>
    <x v="0"/>
    <x v="1"/>
    <x v="2"/>
    <n v="426.3"/>
    <x v="10"/>
    <n v="2023"/>
    <s v="Low Sales"/>
  </r>
  <r>
    <s v="C4488"/>
    <x v="5"/>
    <d v="2025-04-02T00:00:00"/>
    <n v="2"/>
    <n v="705.82"/>
    <s v="Customer C4488"/>
    <x v="2"/>
    <x v="1"/>
    <x v="1"/>
    <n v="1411.64"/>
    <x v="3"/>
    <n v="2025"/>
    <s v="Low Sales"/>
  </r>
  <r>
    <s v="C1453"/>
    <x v="0"/>
    <d v="2023-02-21T00:00:00"/>
    <n v="3"/>
    <n v="57.35"/>
    <s v="Customer C1453"/>
    <x v="2"/>
    <x v="3"/>
    <x v="3"/>
    <n v="172.05"/>
    <x v="5"/>
    <n v="2023"/>
    <s v="Low Sales"/>
  </r>
  <r>
    <s v="C2653"/>
    <x v="3"/>
    <d v="2025-03-12T00:00:00"/>
    <n v="3"/>
    <n v="533.37"/>
    <s v="Customer C2653"/>
    <x v="2"/>
    <x v="2"/>
    <x v="0"/>
    <n v="1600.11"/>
    <x v="0"/>
    <n v="2025"/>
    <s v="Low Sales"/>
  </r>
  <r>
    <s v="C6355"/>
    <x v="2"/>
    <d v="2023-02-17T00:00:00"/>
    <n v="8"/>
    <n v="357.56"/>
    <s v="Customer C6355"/>
    <x v="0"/>
    <x v="0"/>
    <x v="4"/>
    <n v="2860.48"/>
    <x v="5"/>
    <n v="2023"/>
    <s v="High Sales"/>
  </r>
  <r>
    <s v="C7497"/>
    <x v="4"/>
    <d v="2023-12-01T00:00:00"/>
    <n v="7"/>
    <n v="68.58"/>
    <s v="Customer C7497"/>
    <x v="0"/>
    <x v="4"/>
    <x v="0"/>
    <n v="480.06"/>
    <x v="8"/>
    <n v="2023"/>
    <s v="Low Sales"/>
  </r>
  <r>
    <s v="C1652"/>
    <x v="1"/>
    <d v="2023-04-27T00:00:00"/>
    <n v="3"/>
    <n v="611.55999999999995"/>
    <s v="Customer C1652"/>
    <x v="2"/>
    <x v="3"/>
    <x v="3"/>
    <n v="1834.68"/>
    <x v="3"/>
    <n v="2023"/>
    <s v="Low Sales"/>
  </r>
  <r>
    <s v="C4565"/>
    <x v="0"/>
    <d v="2024-02-17T00:00:00"/>
    <n v="1"/>
    <n v="269.26"/>
    <s v="Customer C4565"/>
    <x v="0"/>
    <x v="3"/>
    <x v="2"/>
    <n v="269.26"/>
    <x v="5"/>
    <n v="2024"/>
    <s v="Low Sales"/>
  </r>
  <r>
    <s v="C3695"/>
    <x v="0"/>
    <d v="2025-04-09T00:00:00"/>
    <n v="4"/>
    <n v="737.59"/>
    <s v="Customer C3695"/>
    <x v="2"/>
    <x v="2"/>
    <x v="0"/>
    <n v="2950.36"/>
    <x v="3"/>
    <n v="2025"/>
    <s v="High Sales"/>
  </r>
  <r>
    <s v="C7859"/>
    <x v="3"/>
    <d v="2023-06-04T00:00:00"/>
    <n v="7"/>
    <n v="107.51"/>
    <s v="Customer C7859"/>
    <x v="2"/>
    <x v="4"/>
    <x v="0"/>
    <n v="752.57"/>
    <x v="1"/>
    <n v="2023"/>
    <s v="Low Sales"/>
  </r>
  <r>
    <s v="C1500"/>
    <x v="2"/>
    <d v="2024-06-17T00:00:00"/>
    <n v="3"/>
    <n v="188.33"/>
    <s v="Customer C1500"/>
    <x v="1"/>
    <x v="0"/>
    <x v="3"/>
    <n v="564.99"/>
    <x v="1"/>
    <n v="2024"/>
    <s v="Low Sales"/>
  </r>
  <r>
    <s v="C9617"/>
    <x v="0"/>
    <d v="2023-07-13T00:00:00"/>
    <n v="5"/>
    <n v="563.85"/>
    <s v="Customer C9617"/>
    <x v="2"/>
    <x v="4"/>
    <x v="4"/>
    <n v="2819.25"/>
    <x v="11"/>
    <n v="2023"/>
    <s v="High Sales"/>
  </r>
  <r>
    <s v="C9628"/>
    <x v="1"/>
    <d v="2023-12-26T00:00:00"/>
    <n v="3"/>
    <n v="272.31"/>
    <s v="Customer C9628"/>
    <x v="0"/>
    <x v="2"/>
    <x v="3"/>
    <n v="816.93000000000006"/>
    <x v="8"/>
    <n v="2023"/>
    <s v="Low Sales"/>
  </r>
  <r>
    <s v="C1699"/>
    <x v="6"/>
    <d v="2023-10-23T00:00:00"/>
    <n v="6"/>
    <n v="289.86"/>
    <s v="Customer C1699"/>
    <x v="0"/>
    <x v="1"/>
    <x v="2"/>
    <n v="1739.16"/>
    <x v="9"/>
    <n v="2023"/>
    <s v="Low Sales"/>
  </r>
  <r>
    <s v="C6807"/>
    <x v="4"/>
    <d v="2024-07-19T00:00:00"/>
    <n v="8"/>
    <n v="154.93"/>
    <s v="Customer C6807"/>
    <x v="0"/>
    <x v="4"/>
    <x v="0"/>
    <n v="1239.44"/>
    <x v="11"/>
    <n v="2024"/>
    <s v="Low Sales"/>
  </r>
  <r>
    <s v="C2089"/>
    <x v="0"/>
    <d v="2024-08-14T00:00:00"/>
    <n v="5"/>
    <n v="388.14"/>
    <s v="Customer C2089"/>
    <x v="2"/>
    <x v="1"/>
    <x v="3"/>
    <n v="1940.7"/>
    <x v="4"/>
    <n v="2024"/>
    <s v="Low Sales"/>
  </r>
  <r>
    <s v="C5953"/>
    <x v="3"/>
    <d v="2024-05-03T00:00:00"/>
    <n v="6"/>
    <n v="144.63"/>
    <s v="Customer C5953"/>
    <x v="2"/>
    <x v="1"/>
    <x v="4"/>
    <n v="867.78"/>
    <x v="10"/>
    <n v="2024"/>
    <s v="Low Sales"/>
  </r>
  <r>
    <s v="C3877"/>
    <x v="1"/>
    <d v="2025-01-19T00:00:00"/>
    <n v="6"/>
    <n v="655.75"/>
    <s v="Customer C3877"/>
    <x v="1"/>
    <x v="3"/>
    <x v="4"/>
    <n v="3934.5"/>
    <x v="6"/>
    <n v="2025"/>
    <s v="High Sales"/>
  </r>
  <r>
    <s v="C8283"/>
    <x v="0"/>
    <d v="2025-06-19T00:00:00"/>
    <n v="3"/>
    <n v="314.79000000000002"/>
    <s v="Customer C8283"/>
    <x v="1"/>
    <x v="0"/>
    <x v="2"/>
    <n v="944.37000000000012"/>
    <x v="1"/>
    <n v="2025"/>
    <s v="Low Sales"/>
  </r>
  <r>
    <s v="C6734"/>
    <x v="1"/>
    <d v="2024-10-05T00:00:00"/>
    <n v="1"/>
    <n v="91.01"/>
    <s v="Customer C6734"/>
    <x v="0"/>
    <x v="4"/>
    <x v="4"/>
    <n v="91.01"/>
    <x v="9"/>
    <n v="2024"/>
    <s v="Low Sales"/>
  </r>
  <r>
    <s v="C9579"/>
    <x v="2"/>
    <d v="2024-12-08T00:00:00"/>
    <n v="8"/>
    <n v="717.52"/>
    <s v="Customer C9579"/>
    <x v="2"/>
    <x v="1"/>
    <x v="1"/>
    <n v="5740.16"/>
    <x v="8"/>
    <n v="2024"/>
    <s v="High Sales"/>
  </r>
  <r>
    <s v="C3863"/>
    <x v="6"/>
    <d v="2024-08-28T00:00:00"/>
    <n v="3"/>
    <n v="51.41"/>
    <s v="Customer C3863"/>
    <x v="2"/>
    <x v="3"/>
    <x v="3"/>
    <n v="154.22999999999999"/>
    <x v="4"/>
    <n v="2024"/>
    <s v="Low Sales"/>
  </r>
  <r>
    <s v="C6256"/>
    <x v="2"/>
    <d v="2025-01-11T00:00:00"/>
    <n v="7"/>
    <n v="615.9"/>
    <s v="Customer C6256"/>
    <x v="1"/>
    <x v="4"/>
    <x v="2"/>
    <n v="4311.3"/>
    <x v="6"/>
    <n v="2025"/>
    <s v="High Sales"/>
  </r>
  <r>
    <s v="C2733"/>
    <x v="5"/>
    <d v="2023-12-10T00:00:00"/>
    <n v="8"/>
    <n v="9.3800000000000008"/>
    <s v="Customer C2733"/>
    <x v="0"/>
    <x v="0"/>
    <x v="2"/>
    <n v="75.040000000000006"/>
    <x v="8"/>
    <n v="2023"/>
    <s v="Low Sales"/>
  </r>
  <r>
    <s v="C5078"/>
    <x v="5"/>
    <d v="2024-06-25T00:00:00"/>
    <n v="3"/>
    <n v="742.33"/>
    <s v="Customer C5078"/>
    <x v="1"/>
    <x v="0"/>
    <x v="4"/>
    <n v="2226.9899999999998"/>
    <x v="1"/>
    <n v="2024"/>
    <s v="High Sales"/>
  </r>
  <r>
    <s v="C9712"/>
    <x v="3"/>
    <d v="2023-09-09T00:00:00"/>
    <n v="3"/>
    <n v="391.01"/>
    <s v="Customer C9712"/>
    <x v="2"/>
    <x v="2"/>
    <x v="0"/>
    <n v="1173.03"/>
    <x v="2"/>
    <n v="2023"/>
    <s v="Low Sales"/>
  </r>
  <r>
    <s v="C2227"/>
    <x v="6"/>
    <d v="2023-11-21T00:00:00"/>
    <n v="1"/>
    <n v="142.85"/>
    <s v="Customer C2227"/>
    <x v="1"/>
    <x v="4"/>
    <x v="0"/>
    <n v="142.85"/>
    <x v="7"/>
    <n v="2023"/>
    <s v="Low Sales"/>
  </r>
  <r>
    <s v="C7447"/>
    <x v="3"/>
    <d v="2023-10-12T00:00:00"/>
    <n v="2"/>
    <n v="458.15"/>
    <s v="Customer C7447"/>
    <x v="1"/>
    <x v="4"/>
    <x v="3"/>
    <n v="916.3"/>
    <x v="9"/>
    <n v="2023"/>
    <s v="Low Sales"/>
  </r>
  <r>
    <s v="C1989"/>
    <x v="1"/>
    <d v="2025-01-03T00:00:00"/>
    <n v="1"/>
    <n v="320.24"/>
    <s v="Customer C1989"/>
    <x v="0"/>
    <x v="2"/>
    <x v="0"/>
    <n v="320.24"/>
    <x v="6"/>
    <n v="2025"/>
    <s v="Low Sales"/>
  </r>
  <r>
    <s v="C9217"/>
    <x v="1"/>
    <d v="2024-04-17T00:00:00"/>
    <n v="8"/>
    <n v="45.37"/>
    <s v="Customer C9217"/>
    <x v="2"/>
    <x v="3"/>
    <x v="2"/>
    <n v="362.96"/>
    <x v="3"/>
    <n v="2024"/>
    <s v="Low Sales"/>
  </r>
  <r>
    <s v="C5488"/>
    <x v="0"/>
    <d v="2023-11-06T00:00:00"/>
    <n v="1"/>
    <n v="612.47"/>
    <s v="Customer C5488"/>
    <x v="1"/>
    <x v="2"/>
    <x v="4"/>
    <n v="612.47"/>
    <x v="7"/>
    <n v="2023"/>
    <s v="Low Sales"/>
  </r>
  <r>
    <s v="C1978"/>
    <x v="6"/>
    <d v="2024-03-17T00:00:00"/>
    <n v="8"/>
    <n v="457.43"/>
    <s v="Customer C1978"/>
    <x v="1"/>
    <x v="2"/>
    <x v="4"/>
    <n v="3659.44"/>
    <x v="0"/>
    <n v="2024"/>
    <s v="High Sales"/>
  </r>
  <r>
    <s v="C9806"/>
    <x v="0"/>
    <d v="2024-11-12T00:00:00"/>
    <n v="2"/>
    <n v="282.66000000000003"/>
    <s v="Customer C9806"/>
    <x v="1"/>
    <x v="3"/>
    <x v="2"/>
    <n v="565.32000000000005"/>
    <x v="7"/>
    <n v="2024"/>
    <s v="Low Sales"/>
  </r>
  <r>
    <s v="C2706"/>
    <x v="6"/>
    <d v="2025-05-13T00:00:00"/>
    <n v="5"/>
    <n v="528.01"/>
    <s v="Customer C2706"/>
    <x v="1"/>
    <x v="4"/>
    <x v="3"/>
    <n v="2640.05"/>
    <x v="10"/>
    <n v="2025"/>
    <s v="High Sales"/>
  </r>
  <r>
    <s v="C1828"/>
    <x v="3"/>
    <d v="2024-05-09T00:00:00"/>
    <n v="4"/>
    <n v="402.58"/>
    <s v="Customer C1828"/>
    <x v="1"/>
    <x v="0"/>
    <x v="1"/>
    <n v="1610.32"/>
    <x v="10"/>
    <n v="2024"/>
    <s v="Low Sales"/>
  </r>
  <r>
    <s v="C5938"/>
    <x v="3"/>
    <d v="2023-07-08T00:00:00"/>
    <n v="5"/>
    <n v="95.09"/>
    <s v="Customer C5938"/>
    <x v="0"/>
    <x v="2"/>
    <x v="1"/>
    <n v="475.45"/>
    <x v="11"/>
    <n v="2023"/>
    <s v="Low Sales"/>
  </r>
  <r>
    <s v="C6085"/>
    <x v="6"/>
    <d v="2024-07-28T00:00:00"/>
    <n v="1"/>
    <n v="735.73"/>
    <s v="Customer C6085"/>
    <x v="1"/>
    <x v="4"/>
    <x v="3"/>
    <n v="735.73"/>
    <x v="11"/>
    <n v="2024"/>
    <s v="Low Sales"/>
  </r>
  <r>
    <s v="C7328"/>
    <x v="5"/>
    <d v="2025-06-18T00:00:00"/>
    <n v="5"/>
    <n v="598.36"/>
    <s v="Customer C7328"/>
    <x v="0"/>
    <x v="4"/>
    <x v="3"/>
    <n v="2991.8"/>
    <x v="1"/>
    <n v="2025"/>
    <s v="High Sales"/>
  </r>
  <r>
    <s v="C9859"/>
    <x v="0"/>
    <d v="2024-01-25T00:00:00"/>
    <n v="5"/>
    <n v="718.01"/>
    <s v="Customer C9859"/>
    <x v="1"/>
    <x v="0"/>
    <x v="2"/>
    <n v="3590.05"/>
    <x v="6"/>
    <n v="2024"/>
    <s v="High Sales"/>
  </r>
  <r>
    <s v="C8774"/>
    <x v="0"/>
    <d v="2025-03-13T00:00:00"/>
    <n v="5"/>
    <n v="322.67"/>
    <s v="Customer C8774"/>
    <x v="1"/>
    <x v="0"/>
    <x v="4"/>
    <n v="1613.35"/>
    <x v="0"/>
    <n v="2025"/>
    <s v="Low Sales"/>
  </r>
  <r>
    <s v="C3104"/>
    <x v="2"/>
    <d v="2023-09-13T00:00:00"/>
    <n v="7"/>
    <n v="56.28"/>
    <s v="Customer C3104"/>
    <x v="1"/>
    <x v="0"/>
    <x v="2"/>
    <n v="393.96"/>
    <x v="2"/>
    <n v="2023"/>
    <s v="Low Sales"/>
  </r>
  <r>
    <s v="C7069"/>
    <x v="4"/>
    <d v="2024-06-12T00:00:00"/>
    <n v="6"/>
    <n v="370.95"/>
    <s v="Customer C7069"/>
    <x v="2"/>
    <x v="2"/>
    <x v="2"/>
    <n v="2225.6999999999998"/>
    <x v="1"/>
    <n v="2024"/>
    <s v="High Sales"/>
  </r>
  <r>
    <s v="C5127"/>
    <x v="5"/>
    <d v="2025-05-10T00:00:00"/>
    <n v="5"/>
    <n v="234.71"/>
    <s v="Customer C5127"/>
    <x v="1"/>
    <x v="2"/>
    <x v="3"/>
    <n v="1173.55"/>
    <x v="10"/>
    <n v="2025"/>
    <s v="Low Sales"/>
  </r>
  <r>
    <s v="C4981"/>
    <x v="6"/>
    <d v="2024-08-06T00:00:00"/>
    <n v="6"/>
    <n v="555.21"/>
    <s v="Customer C4981"/>
    <x v="1"/>
    <x v="0"/>
    <x v="4"/>
    <n v="3331.26"/>
    <x v="4"/>
    <n v="2024"/>
    <s v="High Sales"/>
  </r>
  <r>
    <s v="C8295"/>
    <x v="0"/>
    <d v="2023-07-02T00:00:00"/>
    <n v="1"/>
    <n v="466.31"/>
    <s v="Customer C8295"/>
    <x v="1"/>
    <x v="2"/>
    <x v="1"/>
    <n v="466.31"/>
    <x v="11"/>
    <n v="2023"/>
    <s v="Low Sales"/>
  </r>
  <r>
    <s v="C9336"/>
    <x v="0"/>
    <d v="2024-08-22T00:00:00"/>
    <n v="5"/>
    <n v="576.74"/>
    <s v="Customer C9336"/>
    <x v="0"/>
    <x v="4"/>
    <x v="1"/>
    <n v="2883.7"/>
    <x v="4"/>
    <n v="2024"/>
    <s v="High Sales"/>
  </r>
  <r>
    <s v="C5623"/>
    <x v="0"/>
    <d v="2024-04-13T00:00:00"/>
    <n v="4"/>
    <n v="89.55"/>
    <s v="Customer C5623"/>
    <x v="2"/>
    <x v="4"/>
    <x v="4"/>
    <n v="358.2"/>
    <x v="3"/>
    <n v="2024"/>
    <s v="Low Sales"/>
  </r>
  <r>
    <s v="C1898"/>
    <x v="1"/>
    <d v="2023-01-20T00:00:00"/>
    <n v="4"/>
    <n v="189.94"/>
    <s v="Customer C1898"/>
    <x v="0"/>
    <x v="4"/>
    <x v="0"/>
    <n v="759.76"/>
    <x v="6"/>
    <n v="2023"/>
    <s v="Low Sales"/>
  </r>
  <r>
    <s v="C5874"/>
    <x v="0"/>
    <d v="2023-12-05T00:00:00"/>
    <n v="1"/>
    <n v="202.98"/>
    <s v="Customer C5874"/>
    <x v="0"/>
    <x v="2"/>
    <x v="4"/>
    <n v="202.98"/>
    <x v="8"/>
    <n v="2023"/>
    <s v="Low Sales"/>
  </r>
  <r>
    <s v="C2346"/>
    <x v="4"/>
    <d v="2023-08-31T00:00:00"/>
    <n v="1"/>
    <n v="267.7"/>
    <s v="Customer C2346"/>
    <x v="1"/>
    <x v="0"/>
    <x v="4"/>
    <n v="267.7"/>
    <x v="4"/>
    <n v="2023"/>
    <s v="Low Sales"/>
  </r>
  <r>
    <s v="C9993"/>
    <x v="0"/>
    <d v="2025-05-21T00:00:00"/>
    <n v="3"/>
    <n v="374.04"/>
    <s v="Customer C9993"/>
    <x v="2"/>
    <x v="3"/>
    <x v="1"/>
    <n v="1122.1199999999999"/>
    <x v="10"/>
    <n v="2025"/>
    <s v="Low Sales"/>
  </r>
  <r>
    <s v="C6633"/>
    <x v="1"/>
    <d v="2023-03-07T00:00:00"/>
    <n v="6"/>
    <n v="279.77999999999997"/>
    <s v="Customer C6633"/>
    <x v="1"/>
    <x v="2"/>
    <x v="2"/>
    <n v="1678.68"/>
    <x v="0"/>
    <n v="2023"/>
    <s v="Low Sales"/>
  </r>
  <r>
    <s v="C7810"/>
    <x v="0"/>
    <d v="2024-09-15T00:00:00"/>
    <n v="4"/>
    <n v="720.83"/>
    <s v="Customer C7810"/>
    <x v="2"/>
    <x v="2"/>
    <x v="3"/>
    <n v="2883.32"/>
    <x v="2"/>
    <n v="2024"/>
    <s v="High Sales"/>
  </r>
  <r>
    <s v="C1984"/>
    <x v="1"/>
    <d v="2025-02-02T00:00:00"/>
    <n v="3"/>
    <n v="142.91"/>
    <s v="Customer C1984"/>
    <x v="2"/>
    <x v="4"/>
    <x v="3"/>
    <n v="428.73"/>
    <x v="5"/>
    <n v="2025"/>
    <s v="Low Sales"/>
  </r>
  <r>
    <s v="C8055"/>
    <x v="6"/>
    <d v="2025-04-29T00:00:00"/>
    <n v="1"/>
    <n v="728.52"/>
    <s v="Customer C8055"/>
    <x v="0"/>
    <x v="1"/>
    <x v="3"/>
    <n v="728.52"/>
    <x v="3"/>
    <n v="2025"/>
    <s v="Low Sales"/>
  </r>
  <r>
    <s v="C8515"/>
    <x v="2"/>
    <d v="2024-10-20T00:00:00"/>
    <n v="5"/>
    <n v="344.1"/>
    <s v="Customer C8515"/>
    <x v="1"/>
    <x v="1"/>
    <x v="1"/>
    <n v="1720.5"/>
    <x v="9"/>
    <n v="2024"/>
    <s v="Low Sales"/>
  </r>
  <r>
    <s v="C7275"/>
    <x v="4"/>
    <d v="2023-04-30T00:00:00"/>
    <n v="4"/>
    <n v="698.77"/>
    <s v="Customer C7275"/>
    <x v="1"/>
    <x v="2"/>
    <x v="2"/>
    <n v="2795.08"/>
    <x v="3"/>
    <n v="2023"/>
    <s v="High Sales"/>
  </r>
  <r>
    <s v="C4387"/>
    <x v="4"/>
    <d v="2024-09-21T00:00:00"/>
    <n v="5"/>
    <n v="682.34"/>
    <s v="Customer C4387"/>
    <x v="0"/>
    <x v="3"/>
    <x v="1"/>
    <n v="3411.7"/>
    <x v="2"/>
    <n v="2024"/>
    <s v="High Sales"/>
  </r>
  <r>
    <s v="C8768"/>
    <x v="1"/>
    <d v="2025-04-09T00:00:00"/>
    <n v="1"/>
    <n v="424.9"/>
    <s v="Customer C8768"/>
    <x v="2"/>
    <x v="1"/>
    <x v="4"/>
    <n v="424.9"/>
    <x v="3"/>
    <n v="2025"/>
    <s v="Low Sales"/>
  </r>
  <r>
    <s v="C4637"/>
    <x v="0"/>
    <d v="2023-10-21T00:00:00"/>
    <n v="3"/>
    <n v="377.96"/>
    <s v="Customer C4637"/>
    <x v="1"/>
    <x v="1"/>
    <x v="4"/>
    <n v="1133.8800000000001"/>
    <x v="9"/>
    <n v="2023"/>
    <s v="Low Sales"/>
  </r>
  <r>
    <s v="C5538"/>
    <x v="2"/>
    <d v="2023-05-05T00:00:00"/>
    <n v="7"/>
    <n v="412.69"/>
    <s v="Customer C5538"/>
    <x v="1"/>
    <x v="4"/>
    <x v="2"/>
    <n v="2888.83"/>
    <x v="10"/>
    <n v="2023"/>
    <s v="High Sales"/>
  </r>
  <r>
    <s v="C1467"/>
    <x v="4"/>
    <d v="2023-07-07T00:00:00"/>
    <n v="7"/>
    <n v="445.47"/>
    <s v="Customer C1467"/>
    <x v="0"/>
    <x v="3"/>
    <x v="0"/>
    <n v="3118.29"/>
    <x v="11"/>
    <n v="2023"/>
    <s v="High Sales"/>
  </r>
  <r>
    <s v="C2320"/>
    <x v="0"/>
    <d v="2024-04-26T00:00:00"/>
    <n v="5"/>
    <n v="28.12"/>
    <s v="Customer C2320"/>
    <x v="1"/>
    <x v="0"/>
    <x v="2"/>
    <n v="140.6"/>
    <x v="3"/>
    <n v="2024"/>
    <s v="Low Sales"/>
  </r>
  <r>
    <s v="C4674"/>
    <x v="4"/>
    <d v="2023-07-02T00:00:00"/>
    <n v="2"/>
    <n v="778"/>
    <s v="Customer C4674"/>
    <x v="1"/>
    <x v="4"/>
    <x v="3"/>
    <n v="1556"/>
    <x v="11"/>
    <n v="2023"/>
    <s v="Low Sales"/>
  </r>
  <r>
    <s v="C9154"/>
    <x v="5"/>
    <d v="2025-03-10T00:00:00"/>
    <n v="6"/>
    <n v="511.28"/>
    <s v="Customer C9154"/>
    <x v="0"/>
    <x v="3"/>
    <x v="2"/>
    <n v="3067.68"/>
    <x v="0"/>
    <n v="2025"/>
    <s v="High Sales"/>
  </r>
  <r>
    <s v="C6619"/>
    <x v="6"/>
    <d v="2023-07-10T00:00:00"/>
    <n v="8"/>
    <n v="257.74"/>
    <s v="Customer C6619"/>
    <x v="1"/>
    <x v="1"/>
    <x v="0"/>
    <n v="2061.92"/>
    <x v="11"/>
    <n v="2023"/>
    <s v="High Sales"/>
  </r>
  <r>
    <s v="C8670"/>
    <x v="4"/>
    <d v="2023-08-05T00:00:00"/>
    <n v="8"/>
    <n v="204.6"/>
    <s v="Customer C8670"/>
    <x v="0"/>
    <x v="2"/>
    <x v="4"/>
    <n v="1636.8"/>
    <x v="4"/>
    <n v="2023"/>
    <s v="Low Sales"/>
  </r>
  <r>
    <s v="C6576"/>
    <x v="5"/>
    <d v="2025-06-09T00:00:00"/>
    <n v="1"/>
    <n v="697.16"/>
    <s v="Customer C6576"/>
    <x v="2"/>
    <x v="3"/>
    <x v="3"/>
    <n v="697.16"/>
    <x v="1"/>
    <n v="2025"/>
    <s v="Low Sales"/>
  </r>
  <r>
    <s v="C1949"/>
    <x v="4"/>
    <d v="2024-08-26T00:00:00"/>
    <n v="8"/>
    <n v="347.15"/>
    <s v="Customer C1949"/>
    <x v="2"/>
    <x v="0"/>
    <x v="4"/>
    <n v="2777.2"/>
    <x v="4"/>
    <n v="2024"/>
    <s v="High Sales"/>
  </r>
  <r>
    <s v="C7401"/>
    <x v="4"/>
    <d v="2024-07-25T00:00:00"/>
    <n v="2"/>
    <n v="674.66"/>
    <s v="Customer C7401"/>
    <x v="2"/>
    <x v="0"/>
    <x v="2"/>
    <n v="1349.32"/>
    <x v="11"/>
    <n v="2024"/>
    <s v="Low Sales"/>
  </r>
  <r>
    <s v="C8702"/>
    <x v="6"/>
    <d v="2023-05-10T00:00:00"/>
    <n v="6"/>
    <n v="328.64"/>
    <s v="Customer C8702"/>
    <x v="2"/>
    <x v="3"/>
    <x v="4"/>
    <n v="1971.84"/>
    <x v="10"/>
    <n v="2023"/>
    <s v="Low Sales"/>
  </r>
  <r>
    <s v="C2193"/>
    <x v="6"/>
    <d v="2023-04-12T00:00:00"/>
    <n v="3"/>
    <n v="684.22"/>
    <s v="Customer C2193"/>
    <x v="0"/>
    <x v="0"/>
    <x v="3"/>
    <n v="2052.66"/>
    <x v="3"/>
    <n v="2023"/>
    <s v="High Sales"/>
  </r>
  <r>
    <s v="C9421"/>
    <x v="5"/>
    <d v="2023-11-16T00:00:00"/>
    <n v="5"/>
    <n v="508.63"/>
    <s v="Customer C9421"/>
    <x v="2"/>
    <x v="0"/>
    <x v="1"/>
    <n v="2543.15"/>
    <x v="7"/>
    <n v="2023"/>
    <s v="High Sales"/>
  </r>
  <r>
    <s v="C6738"/>
    <x v="2"/>
    <d v="2024-04-05T00:00:00"/>
    <n v="6"/>
    <n v="220.73"/>
    <s v="Customer C6738"/>
    <x v="2"/>
    <x v="1"/>
    <x v="1"/>
    <n v="1324.38"/>
    <x v="3"/>
    <n v="2024"/>
    <s v="Low Sales"/>
  </r>
  <r>
    <s v="C2168"/>
    <x v="0"/>
    <d v="2024-06-13T00:00:00"/>
    <n v="1"/>
    <n v="434.97"/>
    <s v="Customer C2168"/>
    <x v="2"/>
    <x v="4"/>
    <x v="4"/>
    <n v="434.97"/>
    <x v="1"/>
    <n v="2024"/>
    <s v="Low Sales"/>
  </r>
  <r>
    <s v="C3388"/>
    <x v="1"/>
    <d v="2023-01-24T00:00:00"/>
    <n v="1"/>
    <n v="586.44000000000005"/>
    <s v="Customer C3388"/>
    <x v="1"/>
    <x v="1"/>
    <x v="2"/>
    <n v="586.44000000000005"/>
    <x v="6"/>
    <n v="2023"/>
    <s v="Low Sales"/>
  </r>
  <r>
    <s v="C4405"/>
    <x v="0"/>
    <d v="2023-04-26T00:00:00"/>
    <n v="8"/>
    <n v="21.27"/>
    <s v="Customer C4405"/>
    <x v="1"/>
    <x v="0"/>
    <x v="2"/>
    <n v="170.16"/>
    <x v="3"/>
    <n v="2023"/>
    <s v="Low Sales"/>
  </r>
  <r>
    <s v="C3406"/>
    <x v="3"/>
    <d v="2024-03-17T00:00:00"/>
    <n v="8"/>
    <n v="287.38"/>
    <s v="Customer C3406"/>
    <x v="2"/>
    <x v="2"/>
    <x v="0"/>
    <n v="2299.04"/>
    <x v="0"/>
    <n v="2024"/>
    <s v="High Sales"/>
  </r>
  <r>
    <s v="C7065"/>
    <x v="6"/>
    <d v="2023-07-26T00:00:00"/>
    <n v="4"/>
    <n v="575.29"/>
    <s v="Customer C7065"/>
    <x v="0"/>
    <x v="1"/>
    <x v="3"/>
    <n v="2301.16"/>
    <x v="11"/>
    <n v="2023"/>
    <s v="High Sales"/>
  </r>
  <r>
    <s v="C3990"/>
    <x v="2"/>
    <d v="2025-03-30T00:00:00"/>
    <n v="4"/>
    <n v="278.14999999999998"/>
    <s v="Customer C3990"/>
    <x v="1"/>
    <x v="2"/>
    <x v="3"/>
    <n v="1112.5999999999999"/>
    <x v="0"/>
    <n v="2025"/>
    <s v="Low Sales"/>
  </r>
  <r>
    <s v="C5868"/>
    <x v="0"/>
    <d v="2023-06-15T00:00:00"/>
    <n v="7"/>
    <n v="125.26"/>
    <s v="Customer C5868"/>
    <x v="2"/>
    <x v="2"/>
    <x v="1"/>
    <n v="876.82"/>
    <x v="1"/>
    <n v="2023"/>
    <s v="Low Sales"/>
  </r>
  <r>
    <s v="C1494"/>
    <x v="4"/>
    <d v="2024-05-25T00:00:00"/>
    <n v="4"/>
    <n v="201.08"/>
    <s v="Customer C1494"/>
    <x v="0"/>
    <x v="2"/>
    <x v="1"/>
    <n v="804.32"/>
    <x v="10"/>
    <n v="2024"/>
    <s v="Low Sales"/>
  </r>
  <r>
    <s v="C4287"/>
    <x v="4"/>
    <d v="2023-11-16T00:00:00"/>
    <n v="6"/>
    <n v="765.75"/>
    <s v="Customer C4287"/>
    <x v="2"/>
    <x v="4"/>
    <x v="1"/>
    <n v="4594.5"/>
    <x v="7"/>
    <n v="2023"/>
    <s v="High Sales"/>
  </r>
  <r>
    <s v="C8739"/>
    <x v="3"/>
    <d v="2024-02-12T00:00:00"/>
    <n v="5"/>
    <n v="177.73"/>
    <s v="Customer C8739"/>
    <x v="0"/>
    <x v="1"/>
    <x v="0"/>
    <n v="888.65"/>
    <x v="5"/>
    <n v="2024"/>
    <s v="Low Sales"/>
  </r>
  <r>
    <s v="C8575"/>
    <x v="2"/>
    <d v="2023-11-21T00:00:00"/>
    <n v="7"/>
    <n v="556.54"/>
    <s v="Customer C8575"/>
    <x v="2"/>
    <x v="4"/>
    <x v="2"/>
    <n v="3895.78"/>
    <x v="7"/>
    <n v="2023"/>
    <s v="High Sales"/>
  </r>
  <r>
    <s v="C1435"/>
    <x v="2"/>
    <d v="2024-03-30T00:00:00"/>
    <n v="7"/>
    <n v="678.49"/>
    <s v="Customer C1435"/>
    <x v="1"/>
    <x v="2"/>
    <x v="1"/>
    <n v="4749.43"/>
    <x v="0"/>
    <n v="2024"/>
    <s v="High Sales"/>
  </r>
  <r>
    <s v="C9972"/>
    <x v="5"/>
    <d v="2023-04-19T00:00:00"/>
    <n v="3"/>
    <n v="326.56"/>
    <s v="Customer C9972"/>
    <x v="2"/>
    <x v="2"/>
    <x v="3"/>
    <n v="979.68000000000006"/>
    <x v="3"/>
    <n v="2023"/>
    <s v="Low Sales"/>
  </r>
  <r>
    <s v="C8889"/>
    <x v="2"/>
    <d v="2023-06-03T00:00:00"/>
    <n v="3"/>
    <n v="730.83"/>
    <s v="Customer C8889"/>
    <x v="2"/>
    <x v="1"/>
    <x v="4"/>
    <n v="2192.4899999999998"/>
    <x v="1"/>
    <n v="2023"/>
    <s v="High Sales"/>
  </r>
  <r>
    <s v="C6194"/>
    <x v="2"/>
    <d v="2023-05-16T00:00:00"/>
    <n v="4"/>
    <n v="606.28"/>
    <s v="Customer C6194"/>
    <x v="1"/>
    <x v="1"/>
    <x v="4"/>
    <n v="2425.12"/>
    <x v="10"/>
    <n v="2023"/>
    <s v="High Sales"/>
  </r>
  <r>
    <s v="C6308"/>
    <x v="3"/>
    <d v="2025-03-18T00:00:00"/>
    <n v="7"/>
    <n v="354.2"/>
    <s v="Customer C6308"/>
    <x v="0"/>
    <x v="4"/>
    <x v="1"/>
    <n v="2479.4"/>
    <x v="0"/>
    <n v="2025"/>
    <s v="High Sales"/>
  </r>
  <r>
    <s v="C3336"/>
    <x v="6"/>
    <d v="2024-02-25T00:00:00"/>
    <n v="1"/>
    <n v="146"/>
    <s v="Customer C3336"/>
    <x v="0"/>
    <x v="1"/>
    <x v="4"/>
    <n v="146"/>
    <x v="5"/>
    <n v="2024"/>
    <s v="Low Sales"/>
  </r>
  <r>
    <s v="C8474"/>
    <x v="1"/>
    <d v="2024-05-11T00:00:00"/>
    <n v="6"/>
    <n v="360.61"/>
    <s v="Customer C8474"/>
    <x v="0"/>
    <x v="3"/>
    <x v="3"/>
    <n v="2163.66"/>
    <x v="10"/>
    <n v="2024"/>
    <s v="High Sales"/>
  </r>
  <r>
    <s v="C5900"/>
    <x v="1"/>
    <d v="2024-08-21T00:00:00"/>
    <n v="8"/>
    <n v="127.21"/>
    <s v="Customer C5900"/>
    <x v="2"/>
    <x v="4"/>
    <x v="3"/>
    <n v="1017.68"/>
    <x v="4"/>
    <n v="2024"/>
    <s v="Low Sales"/>
  </r>
  <r>
    <s v="C1290"/>
    <x v="6"/>
    <d v="2024-09-04T00:00:00"/>
    <n v="8"/>
    <n v="210.44"/>
    <s v="Customer C1290"/>
    <x v="2"/>
    <x v="1"/>
    <x v="0"/>
    <n v="1683.52"/>
    <x v="2"/>
    <n v="2024"/>
    <s v="Low Sales"/>
  </r>
  <r>
    <s v="C3479"/>
    <x v="2"/>
    <d v="2025-05-14T00:00:00"/>
    <n v="5"/>
    <n v="408.93"/>
    <s v="Customer C3479"/>
    <x v="2"/>
    <x v="0"/>
    <x v="4"/>
    <n v="2044.65"/>
    <x v="10"/>
    <n v="2025"/>
    <s v="High Sales"/>
  </r>
  <r>
    <s v="C2867"/>
    <x v="2"/>
    <d v="2023-01-15T00:00:00"/>
    <n v="6"/>
    <n v="604.42999999999995"/>
    <s v="Customer C2867"/>
    <x v="2"/>
    <x v="2"/>
    <x v="0"/>
    <n v="3626.58"/>
    <x v="6"/>
    <n v="2023"/>
    <s v="High Sales"/>
  </r>
  <r>
    <s v="C5902"/>
    <x v="6"/>
    <d v="2024-08-22T00:00:00"/>
    <n v="4"/>
    <n v="366.2"/>
    <s v="Customer C5902"/>
    <x v="0"/>
    <x v="2"/>
    <x v="1"/>
    <n v="1464.8"/>
    <x v="4"/>
    <n v="2024"/>
    <s v="Low Sales"/>
  </r>
  <r>
    <s v="C8053"/>
    <x v="3"/>
    <d v="2025-06-22T00:00:00"/>
    <n v="1"/>
    <n v="470.23"/>
    <s v="Customer C8053"/>
    <x v="0"/>
    <x v="3"/>
    <x v="1"/>
    <n v="470.23"/>
    <x v="1"/>
    <n v="2025"/>
    <s v="Low Sales"/>
  </r>
  <r>
    <s v="C3674"/>
    <x v="3"/>
    <d v="2024-12-22T00:00:00"/>
    <n v="3"/>
    <n v="232.73"/>
    <s v="Customer C3674"/>
    <x v="1"/>
    <x v="4"/>
    <x v="1"/>
    <n v="698.18999999999994"/>
    <x v="8"/>
    <n v="2024"/>
    <s v="Low Sales"/>
  </r>
  <r>
    <s v="C8201"/>
    <x v="3"/>
    <d v="2023-01-23T00:00:00"/>
    <n v="6"/>
    <n v="744.27"/>
    <s v="Customer C8201"/>
    <x v="2"/>
    <x v="1"/>
    <x v="4"/>
    <n v="4465.62"/>
    <x v="6"/>
    <n v="2023"/>
    <s v="High Sales"/>
  </r>
  <r>
    <s v="C2211"/>
    <x v="1"/>
    <d v="2023-11-27T00:00:00"/>
    <n v="8"/>
    <n v="290.91000000000003"/>
    <s v="Customer C2211"/>
    <x v="0"/>
    <x v="1"/>
    <x v="2"/>
    <n v="2327.2800000000002"/>
    <x v="7"/>
    <n v="2023"/>
    <s v="High Sales"/>
  </r>
  <r>
    <s v="C5564"/>
    <x v="5"/>
    <d v="2025-06-13T00:00:00"/>
    <n v="8"/>
    <n v="425.3"/>
    <s v="Customer C5564"/>
    <x v="2"/>
    <x v="3"/>
    <x v="2"/>
    <n v="3402.4"/>
    <x v="1"/>
    <n v="2025"/>
    <s v="High Sales"/>
  </r>
  <r>
    <s v="C6093"/>
    <x v="4"/>
    <d v="2025-01-16T00:00:00"/>
    <n v="7"/>
    <n v="406.68"/>
    <s v="Customer C6093"/>
    <x v="1"/>
    <x v="2"/>
    <x v="4"/>
    <n v="2846.76"/>
    <x v="6"/>
    <n v="2025"/>
    <s v="High Sales"/>
  </r>
  <r>
    <s v="C2333"/>
    <x v="5"/>
    <d v="2025-04-14T00:00:00"/>
    <n v="5"/>
    <n v="167.11"/>
    <s v="Customer C2333"/>
    <x v="2"/>
    <x v="2"/>
    <x v="1"/>
    <n v="835.55000000000007"/>
    <x v="3"/>
    <n v="2025"/>
    <s v="Low Sales"/>
  </r>
  <r>
    <s v="C4566"/>
    <x v="4"/>
    <d v="2024-02-12T00:00:00"/>
    <n v="6"/>
    <n v="607.23"/>
    <s v="Customer C4566"/>
    <x v="2"/>
    <x v="3"/>
    <x v="1"/>
    <n v="3643.38"/>
    <x v="5"/>
    <n v="2024"/>
    <s v="High Sales"/>
  </r>
  <r>
    <s v="C1224"/>
    <x v="5"/>
    <d v="2023-10-26T00:00:00"/>
    <n v="7"/>
    <n v="437.66"/>
    <s v="Customer C1224"/>
    <x v="1"/>
    <x v="4"/>
    <x v="2"/>
    <n v="3063.62"/>
    <x v="9"/>
    <n v="2023"/>
    <s v="High Sales"/>
  </r>
  <r>
    <s v="C9015"/>
    <x v="6"/>
    <d v="2023-08-02T00:00:00"/>
    <n v="8"/>
    <n v="757.81"/>
    <s v="Customer C9015"/>
    <x v="1"/>
    <x v="4"/>
    <x v="3"/>
    <n v="6062.48"/>
    <x v="4"/>
    <n v="2023"/>
    <s v="High Sales"/>
  </r>
  <r>
    <s v="C3528"/>
    <x v="1"/>
    <d v="2024-09-24T00:00:00"/>
    <n v="7"/>
    <n v="362.42"/>
    <s v="Customer C3528"/>
    <x v="0"/>
    <x v="4"/>
    <x v="2"/>
    <n v="2536.94"/>
    <x v="2"/>
    <n v="2024"/>
    <s v="High Sales"/>
  </r>
  <r>
    <s v="C9803"/>
    <x v="0"/>
    <d v="2024-03-24T00:00:00"/>
    <n v="8"/>
    <n v="208.1"/>
    <s v="Customer C9803"/>
    <x v="1"/>
    <x v="1"/>
    <x v="4"/>
    <n v="1664.8"/>
    <x v="0"/>
    <n v="2024"/>
    <s v="Low Sales"/>
  </r>
  <r>
    <s v="C7750"/>
    <x v="3"/>
    <d v="2024-02-29T00:00:00"/>
    <n v="5"/>
    <n v="637.52"/>
    <s v="Customer C7750"/>
    <x v="2"/>
    <x v="3"/>
    <x v="2"/>
    <n v="3187.6"/>
    <x v="5"/>
    <n v="2024"/>
    <s v="High Sales"/>
  </r>
  <r>
    <s v="C7089"/>
    <x v="0"/>
    <d v="2025-05-03T00:00:00"/>
    <n v="3"/>
    <n v="180.86"/>
    <s v="Customer C7089"/>
    <x v="2"/>
    <x v="1"/>
    <x v="1"/>
    <n v="542.58000000000004"/>
    <x v="10"/>
    <n v="2025"/>
    <s v="Low Sales"/>
  </r>
  <r>
    <s v="C3308"/>
    <x v="2"/>
    <d v="2024-04-22T00:00:00"/>
    <n v="1"/>
    <n v="214.93"/>
    <s v="Customer C3308"/>
    <x v="1"/>
    <x v="3"/>
    <x v="3"/>
    <n v="214.93"/>
    <x v="3"/>
    <n v="2024"/>
    <s v="Low Sales"/>
  </r>
  <r>
    <s v="C6901"/>
    <x v="6"/>
    <d v="2023-12-22T00:00:00"/>
    <n v="7"/>
    <n v="375"/>
    <s v="Customer C6901"/>
    <x v="2"/>
    <x v="3"/>
    <x v="2"/>
    <n v="2625"/>
    <x v="8"/>
    <n v="2023"/>
    <s v="High Sales"/>
  </r>
  <r>
    <s v="C8995"/>
    <x v="6"/>
    <d v="2023-12-13T00:00:00"/>
    <n v="8"/>
    <n v="247.38"/>
    <s v="Customer C8995"/>
    <x v="0"/>
    <x v="1"/>
    <x v="4"/>
    <n v="1979.04"/>
    <x v="8"/>
    <n v="2023"/>
    <s v="Low Sales"/>
  </r>
  <r>
    <s v="C5032"/>
    <x v="1"/>
    <d v="2023-07-19T00:00:00"/>
    <n v="7"/>
    <n v="170.42"/>
    <s v="Customer C5032"/>
    <x v="2"/>
    <x v="3"/>
    <x v="0"/>
    <n v="1192.94"/>
    <x v="11"/>
    <n v="2023"/>
    <s v="Low Sales"/>
  </r>
  <r>
    <s v="C5516"/>
    <x v="3"/>
    <d v="2023-01-19T00:00:00"/>
    <n v="5"/>
    <n v="641.57000000000005"/>
    <s v="Customer C5516"/>
    <x v="1"/>
    <x v="1"/>
    <x v="3"/>
    <n v="3207.85"/>
    <x v="6"/>
    <n v="2023"/>
    <s v="High Sales"/>
  </r>
  <r>
    <s v="C7798"/>
    <x v="5"/>
    <d v="2024-06-13T00:00:00"/>
    <n v="7"/>
    <n v="462.28"/>
    <s v="Customer C7798"/>
    <x v="0"/>
    <x v="0"/>
    <x v="4"/>
    <n v="3235.96"/>
    <x v="1"/>
    <n v="2024"/>
    <s v="High Sales"/>
  </r>
  <r>
    <s v="C9172"/>
    <x v="4"/>
    <d v="2024-01-23T00:00:00"/>
    <n v="4"/>
    <n v="693.32"/>
    <s v="Customer C9172"/>
    <x v="0"/>
    <x v="2"/>
    <x v="4"/>
    <n v="2773.28"/>
    <x v="6"/>
    <n v="2024"/>
    <s v="High Sales"/>
  </r>
  <r>
    <s v="C2747"/>
    <x v="2"/>
    <d v="2025-06-18T00:00:00"/>
    <n v="6"/>
    <n v="533.1"/>
    <s v="Customer C2747"/>
    <x v="1"/>
    <x v="1"/>
    <x v="0"/>
    <n v="3198.6"/>
    <x v="1"/>
    <n v="2025"/>
    <s v="High Sales"/>
  </r>
  <r>
    <s v="C2137"/>
    <x v="6"/>
    <d v="2024-01-01T00:00:00"/>
    <n v="6"/>
    <n v="577.75"/>
    <s v="Customer C2137"/>
    <x v="2"/>
    <x v="4"/>
    <x v="0"/>
    <n v="3466.5"/>
    <x v="6"/>
    <n v="2024"/>
    <s v="High Sales"/>
  </r>
  <r>
    <s v="C8564"/>
    <x v="2"/>
    <d v="2024-01-04T00:00:00"/>
    <n v="6"/>
    <n v="307.64999999999998"/>
    <s v="Customer C8564"/>
    <x v="1"/>
    <x v="1"/>
    <x v="1"/>
    <n v="1845.9"/>
    <x v="6"/>
    <n v="2024"/>
    <s v="Low Sales"/>
  </r>
  <r>
    <s v="C8214"/>
    <x v="1"/>
    <d v="2023-01-26T00:00:00"/>
    <n v="2"/>
    <n v="181.2"/>
    <s v="Customer C8214"/>
    <x v="1"/>
    <x v="4"/>
    <x v="4"/>
    <n v="362.4"/>
    <x v="6"/>
    <n v="2023"/>
    <s v="Low Sales"/>
  </r>
  <r>
    <s v="C1446"/>
    <x v="4"/>
    <d v="2024-10-06T00:00:00"/>
    <n v="8"/>
    <n v="172.99"/>
    <s v="Customer C1446"/>
    <x v="2"/>
    <x v="4"/>
    <x v="2"/>
    <n v="1383.92"/>
    <x v="9"/>
    <n v="2024"/>
    <s v="Low Sales"/>
  </r>
  <r>
    <s v="C2608"/>
    <x v="5"/>
    <d v="2023-03-09T00:00:00"/>
    <n v="1"/>
    <n v="716.32"/>
    <s v="Customer C2608"/>
    <x v="1"/>
    <x v="2"/>
    <x v="2"/>
    <n v="716.32"/>
    <x v="0"/>
    <n v="2023"/>
    <s v="Low Sales"/>
  </r>
  <r>
    <s v="C9528"/>
    <x v="4"/>
    <d v="2023-06-12T00:00:00"/>
    <n v="4"/>
    <n v="77.44"/>
    <s v="Customer C9528"/>
    <x v="2"/>
    <x v="1"/>
    <x v="3"/>
    <n v="309.76"/>
    <x v="1"/>
    <n v="2023"/>
    <s v="Low Sales"/>
  </r>
  <r>
    <s v="C6607"/>
    <x v="5"/>
    <d v="2023-08-09T00:00:00"/>
    <n v="2"/>
    <n v="595.6"/>
    <s v="Customer C6607"/>
    <x v="0"/>
    <x v="4"/>
    <x v="4"/>
    <n v="1191.2"/>
    <x v="4"/>
    <n v="2023"/>
    <s v="Low Sales"/>
  </r>
  <r>
    <s v="C8987"/>
    <x v="6"/>
    <d v="2023-08-28T00:00:00"/>
    <n v="4"/>
    <n v="104.51"/>
    <s v="Customer C8987"/>
    <x v="2"/>
    <x v="4"/>
    <x v="2"/>
    <n v="418.04"/>
    <x v="4"/>
    <n v="2023"/>
    <s v="Low Sales"/>
  </r>
  <r>
    <s v="C7488"/>
    <x v="2"/>
    <d v="2024-07-23T00:00:00"/>
    <n v="5"/>
    <n v="499.6"/>
    <s v="Customer C7488"/>
    <x v="2"/>
    <x v="3"/>
    <x v="1"/>
    <n v="2498"/>
    <x v="11"/>
    <n v="2024"/>
    <s v="High Sales"/>
  </r>
  <r>
    <s v="C2929"/>
    <x v="4"/>
    <d v="2023-05-23T00:00:00"/>
    <n v="4"/>
    <n v="718.49"/>
    <s v="Customer C2929"/>
    <x v="0"/>
    <x v="2"/>
    <x v="3"/>
    <n v="2873.96"/>
    <x v="10"/>
    <n v="2023"/>
    <s v="High Sales"/>
  </r>
  <r>
    <s v="C9264"/>
    <x v="4"/>
    <d v="2024-12-30T00:00:00"/>
    <n v="7"/>
    <n v="208.38"/>
    <s v="Customer C9264"/>
    <x v="0"/>
    <x v="4"/>
    <x v="0"/>
    <n v="1458.66"/>
    <x v="8"/>
    <n v="2024"/>
    <s v="Low Sales"/>
  </r>
  <r>
    <s v="C5439"/>
    <x v="4"/>
    <d v="2023-04-04T00:00:00"/>
    <n v="5"/>
    <n v="14.67"/>
    <s v="Customer C5439"/>
    <x v="2"/>
    <x v="3"/>
    <x v="1"/>
    <n v="73.349999999999994"/>
    <x v="3"/>
    <n v="2023"/>
    <s v="Low Sales"/>
  </r>
  <r>
    <s v="C1604"/>
    <x v="2"/>
    <d v="2025-04-08T00:00:00"/>
    <n v="2"/>
    <n v="463.17"/>
    <s v="Customer C1604"/>
    <x v="1"/>
    <x v="4"/>
    <x v="3"/>
    <n v="926.34"/>
    <x v="3"/>
    <n v="2025"/>
    <s v="Low Sales"/>
  </r>
  <r>
    <s v="C4790"/>
    <x v="2"/>
    <d v="2025-03-15T00:00:00"/>
    <n v="2"/>
    <n v="277.76"/>
    <s v="Customer C4790"/>
    <x v="2"/>
    <x v="2"/>
    <x v="4"/>
    <n v="555.52"/>
    <x v="0"/>
    <n v="2025"/>
    <s v="Low Sales"/>
  </r>
  <r>
    <s v="C8052"/>
    <x v="5"/>
    <d v="2024-11-12T00:00:00"/>
    <n v="4"/>
    <n v="276.02"/>
    <s v="Customer C8052"/>
    <x v="2"/>
    <x v="1"/>
    <x v="4"/>
    <n v="1104.08"/>
    <x v="7"/>
    <n v="2024"/>
    <s v="Low Sales"/>
  </r>
  <r>
    <s v="C2512"/>
    <x v="3"/>
    <d v="2023-04-24T00:00:00"/>
    <n v="2"/>
    <n v="279.12"/>
    <s v="Customer C2512"/>
    <x v="2"/>
    <x v="1"/>
    <x v="3"/>
    <n v="558.24"/>
    <x v="3"/>
    <n v="2023"/>
    <s v="Low Sales"/>
  </r>
  <r>
    <s v="C4251"/>
    <x v="1"/>
    <d v="2023-05-07T00:00:00"/>
    <n v="3"/>
    <n v="405.99"/>
    <s v="Customer C4251"/>
    <x v="2"/>
    <x v="3"/>
    <x v="4"/>
    <n v="1217.97"/>
    <x v="10"/>
    <n v="2023"/>
    <s v="Low Sales"/>
  </r>
  <r>
    <s v="C2162"/>
    <x v="2"/>
    <d v="2023-04-07T00:00:00"/>
    <n v="7"/>
    <n v="137.94"/>
    <s v="Customer C2162"/>
    <x v="0"/>
    <x v="3"/>
    <x v="4"/>
    <n v="965.57999999999993"/>
    <x v="3"/>
    <n v="2023"/>
    <s v="Low Sales"/>
  </r>
  <r>
    <s v="C5293"/>
    <x v="0"/>
    <d v="2023-08-08T00:00:00"/>
    <n v="1"/>
    <n v="690.28"/>
    <s v="Customer C5293"/>
    <x v="1"/>
    <x v="0"/>
    <x v="2"/>
    <n v="690.28"/>
    <x v="4"/>
    <n v="2023"/>
    <s v="Low Sales"/>
  </r>
  <r>
    <s v="C4991"/>
    <x v="5"/>
    <d v="2023-08-28T00:00:00"/>
    <n v="5"/>
    <n v="732.49"/>
    <s v="Customer C4991"/>
    <x v="0"/>
    <x v="3"/>
    <x v="3"/>
    <n v="3662.45"/>
    <x v="4"/>
    <n v="2023"/>
    <s v="High Sales"/>
  </r>
  <r>
    <s v="C7559"/>
    <x v="1"/>
    <d v="2024-04-09T00:00:00"/>
    <n v="5"/>
    <n v="670.44"/>
    <s v="Customer C7559"/>
    <x v="2"/>
    <x v="2"/>
    <x v="1"/>
    <n v="3352.2"/>
    <x v="3"/>
    <n v="2024"/>
    <s v="High Sales"/>
  </r>
  <r>
    <s v="C7184"/>
    <x v="0"/>
    <d v="2025-04-13T00:00:00"/>
    <n v="7"/>
    <n v="699.99"/>
    <s v="Customer C7184"/>
    <x v="2"/>
    <x v="2"/>
    <x v="2"/>
    <n v="4899.93"/>
    <x v="3"/>
    <n v="2025"/>
    <s v="High Sales"/>
  </r>
  <r>
    <s v="C9136"/>
    <x v="2"/>
    <d v="2025-06-16T00:00:00"/>
    <n v="2"/>
    <n v="680.09"/>
    <s v="Customer C9136"/>
    <x v="2"/>
    <x v="0"/>
    <x v="3"/>
    <n v="1360.18"/>
    <x v="1"/>
    <n v="2025"/>
    <s v="Low Sales"/>
  </r>
  <r>
    <s v="C4455"/>
    <x v="1"/>
    <d v="2023-03-24T00:00:00"/>
    <n v="1"/>
    <n v="509.84"/>
    <s v="Customer C4455"/>
    <x v="1"/>
    <x v="4"/>
    <x v="0"/>
    <n v="509.84"/>
    <x v="0"/>
    <n v="2023"/>
    <s v="Low Sales"/>
  </r>
  <r>
    <s v="C3561"/>
    <x v="6"/>
    <d v="2024-08-15T00:00:00"/>
    <n v="2"/>
    <n v="533.20000000000005"/>
    <s v="Customer C3561"/>
    <x v="1"/>
    <x v="0"/>
    <x v="3"/>
    <n v="1066.4000000000001"/>
    <x v="4"/>
    <n v="2024"/>
    <s v="Low Sales"/>
  </r>
  <r>
    <s v="C9700"/>
    <x v="0"/>
    <d v="2024-08-26T00:00:00"/>
    <n v="1"/>
    <n v="660.13"/>
    <s v="Customer C9700"/>
    <x v="2"/>
    <x v="3"/>
    <x v="2"/>
    <n v="660.13"/>
    <x v="4"/>
    <n v="2024"/>
    <s v="Low Sales"/>
  </r>
  <r>
    <s v="C3253"/>
    <x v="0"/>
    <d v="2023-07-04T00:00:00"/>
    <n v="5"/>
    <n v="416.36"/>
    <s v="Customer C3253"/>
    <x v="2"/>
    <x v="1"/>
    <x v="4"/>
    <n v="2081.8000000000002"/>
    <x v="11"/>
    <n v="2023"/>
    <s v="High Sales"/>
  </r>
  <r>
    <s v="C3214"/>
    <x v="0"/>
    <d v="2025-01-16T00:00:00"/>
    <n v="5"/>
    <n v="29.75"/>
    <s v="Customer C3214"/>
    <x v="1"/>
    <x v="0"/>
    <x v="2"/>
    <n v="148.75"/>
    <x v="6"/>
    <n v="2025"/>
    <s v="Low Sales"/>
  </r>
  <r>
    <s v="C6591"/>
    <x v="6"/>
    <d v="2024-12-06T00:00:00"/>
    <n v="2"/>
    <n v="179.16"/>
    <s v="Customer C6591"/>
    <x v="2"/>
    <x v="3"/>
    <x v="1"/>
    <n v="358.32"/>
    <x v="8"/>
    <n v="2024"/>
    <s v="Low Sales"/>
  </r>
  <r>
    <s v="C8319"/>
    <x v="2"/>
    <d v="2024-01-26T00:00:00"/>
    <n v="2"/>
    <n v="717.61"/>
    <s v="Customer C8319"/>
    <x v="2"/>
    <x v="1"/>
    <x v="3"/>
    <n v="1435.22"/>
    <x v="6"/>
    <n v="2024"/>
    <s v="Low Sales"/>
  </r>
  <r>
    <s v="C3885"/>
    <x v="6"/>
    <d v="2024-08-16T00:00:00"/>
    <n v="6"/>
    <n v="360.74"/>
    <s v="Customer C3885"/>
    <x v="0"/>
    <x v="4"/>
    <x v="2"/>
    <n v="2164.44"/>
    <x v="4"/>
    <n v="2024"/>
    <s v="High Sales"/>
  </r>
  <r>
    <s v="C3106"/>
    <x v="1"/>
    <d v="2023-10-17T00:00:00"/>
    <n v="4"/>
    <n v="234.79"/>
    <s v="Customer C3106"/>
    <x v="0"/>
    <x v="0"/>
    <x v="0"/>
    <n v="939.16"/>
    <x v="9"/>
    <n v="2023"/>
    <s v="Low Sales"/>
  </r>
  <r>
    <s v="C9472"/>
    <x v="6"/>
    <d v="2023-06-05T00:00:00"/>
    <n v="4"/>
    <n v="595.29"/>
    <s v="Customer C9472"/>
    <x v="1"/>
    <x v="2"/>
    <x v="2"/>
    <n v="2381.16"/>
    <x v="1"/>
    <n v="2023"/>
    <s v="High Sales"/>
  </r>
  <r>
    <s v="C3078"/>
    <x v="2"/>
    <d v="2023-04-02T00:00:00"/>
    <n v="6"/>
    <n v="54.35"/>
    <s v="Customer C3078"/>
    <x v="0"/>
    <x v="3"/>
    <x v="1"/>
    <n v="326.10000000000002"/>
    <x v="3"/>
    <n v="2023"/>
    <s v="Low Sales"/>
  </r>
  <r>
    <s v="C7956"/>
    <x v="6"/>
    <d v="2025-06-28T00:00:00"/>
    <n v="6"/>
    <n v="438.12"/>
    <s v="Customer C7956"/>
    <x v="1"/>
    <x v="4"/>
    <x v="2"/>
    <n v="2628.72"/>
    <x v="1"/>
    <n v="2025"/>
    <s v="High Sales"/>
  </r>
  <r>
    <s v="C7726"/>
    <x v="2"/>
    <d v="2023-07-03T00:00:00"/>
    <n v="8"/>
    <n v="298.3"/>
    <s v="Customer C7726"/>
    <x v="0"/>
    <x v="1"/>
    <x v="3"/>
    <n v="2386.4"/>
    <x v="11"/>
    <n v="2023"/>
    <s v="High Sales"/>
  </r>
  <r>
    <s v="C6077"/>
    <x v="5"/>
    <d v="2024-12-14T00:00:00"/>
    <n v="8"/>
    <n v="407.56"/>
    <s v="Customer C6077"/>
    <x v="1"/>
    <x v="2"/>
    <x v="1"/>
    <n v="3260.48"/>
    <x v="8"/>
    <n v="2024"/>
    <s v="High Sales"/>
  </r>
  <r>
    <s v="C4172"/>
    <x v="0"/>
    <d v="2024-03-11T00:00:00"/>
    <n v="4"/>
    <n v="585.67999999999995"/>
    <s v="Customer C4172"/>
    <x v="1"/>
    <x v="3"/>
    <x v="3"/>
    <n v="2342.7199999999998"/>
    <x v="0"/>
    <n v="2024"/>
    <s v="High Sales"/>
  </r>
  <r>
    <s v="C5241"/>
    <x v="6"/>
    <d v="2024-10-23T00:00:00"/>
    <n v="3"/>
    <n v="503.12"/>
    <s v="Customer C5241"/>
    <x v="2"/>
    <x v="2"/>
    <x v="1"/>
    <n v="1509.36"/>
    <x v="9"/>
    <n v="2024"/>
    <s v="Low Sales"/>
  </r>
  <r>
    <s v="C5024"/>
    <x v="2"/>
    <d v="2024-05-08T00:00:00"/>
    <n v="4"/>
    <n v="69.17"/>
    <s v="Customer C5024"/>
    <x v="2"/>
    <x v="4"/>
    <x v="2"/>
    <n v="276.68"/>
    <x v="10"/>
    <n v="2024"/>
    <s v="Low Sales"/>
  </r>
  <r>
    <s v="C9792"/>
    <x v="4"/>
    <d v="2024-09-29T00:00:00"/>
    <n v="8"/>
    <n v="588.84"/>
    <s v="Customer C9792"/>
    <x v="2"/>
    <x v="2"/>
    <x v="1"/>
    <n v="4710.72"/>
    <x v="2"/>
    <n v="2024"/>
    <s v="High Sales"/>
  </r>
  <r>
    <s v="C7684"/>
    <x v="6"/>
    <d v="2023-01-16T00:00:00"/>
    <n v="8"/>
    <n v="343.72"/>
    <s v="Customer C7684"/>
    <x v="1"/>
    <x v="3"/>
    <x v="4"/>
    <n v="2749.76"/>
    <x v="6"/>
    <n v="2023"/>
    <s v="High Sales"/>
  </r>
  <r>
    <s v="C4159"/>
    <x v="5"/>
    <d v="2023-11-06T00:00:00"/>
    <n v="8"/>
    <n v="619.45000000000005"/>
    <s v="Customer C4159"/>
    <x v="2"/>
    <x v="2"/>
    <x v="2"/>
    <n v="4955.6000000000004"/>
    <x v="7"/>
    <n v="2023"/>
    <s v="High Sales"/>
  </r>
  <r>
    <s v="C7015"/>
    <x v="5"/>
    <d v="2024-07-26T00:00:00"/>
    <n v="6"/>
    <n v="244.4"/>
    <s v="Customer C7015"/>
    <x v="1"/>
    <x v="1"/>
    <x v="3"/>
    <n v="1466.4"/>
    <x v="11"/>
    <n v="2024"/>
    <s v="Low Sales"/>
  </r>
  <r>
    <s v="C4247"/>
    <x v="5"/>
    <d v="2023-10-01T00:00:00"/>
    <n v="6"/>
    <n v="229.64"/>
    <s v="Customer C4247"/>
    <x v="2"/>
    <x v="0"/>
    <x v="1"/>
    <n v="1377.84"/>
    <x v="9"/>
    <n v="2023"/>
    <s v="Low Sales"/>
  </r>
  <r>
    <s v="C7153"/>
    <x v="5"/>
    <d v="2024-09-26T00:00:00"/>
    <n v="4"/>
    <n v="733.97"/>
    <s v="Customer C7153"/>
    <x v="0"/>
    <x v="0"/>
    <x v="4"/>
    <n v="2935.88"/>
    <x v="2"/>
    <n v="2024"/>
    <s v="High Sales"/>
  </r>
  <r>
    <s v="C9545"/>
    <x v="6"/>
    <d v="2024-07-12T00:00:00"/>
    <n v="3"/>
    <n v="539.65"/>
    <s v="Customer C9545"/>
    <x v="2"/>
    <x v="4"/>
    <x v="3"/>
    <n v="1618.95"/>
    <x v="11"/>
    <n v="2024"/>
    <s v="Low Sales"/>
  </r>
  <r>
    <s v="C2148"/>
    <x v="3"/>
    <d v="2023-02-24T00:00:00"/>
    <n v="5"/>
    <n v="112"/>
    <s v="Customer C2148"/>
    <x v="0"/>
    <x v="1"/>
    <x v="0"/>
    <n v="560"/>
    <x v="5"/>
    <n v="2023"/>
    <s v="Low Sales"/>
  </r>
  <r>
    <s v="C1999"/>
    <x v="6"/>
    <d v="2023-01-21T00:00:00"/>
    <n v="8"/>
    <n v="564.16"/>
    <s v="Customer C1999"/>
    <x v="2"/>
    <x v="4"/>
    <x v="0"/>
    <n v="4513.28"/>
    <x v="6"/>
    <n v="2023"/>
    <s v="High Sales"/>
  </r>
  <r>
    <s v="C7767"/>
    <x v="1"/>
    <d v="2024-02-15T00:00:00"/>
    <n v="1"/>
    <n v="387.28"/>
    <s v="Customer C7767"/>
    <x v="1"/>
    <x v="3"/>
    <x v="4"/>
    <n v="387.28"/>
    <x v="5"/>
    <n v="2024"/>
    <s v="Low Sales"/>
  </r>
  <r>
    <s v="C1667"/>
    <x v="1"/>
    <d v="2024-05-04T00:00:00"/>
    <n v="3"/>
    <n v="503.73"/>
    <s v="Customer C1667"/>
    <x v="2"/>
    <x v="1"/>
    <x v="3"/>
    <n v="1511.19"/>
    <x v="10"/>
    <n v="2024"/>
    <s v="Low Sales"/>
  </r>
  <r>
    <s v="C4704"/>
    <x v="6"/>
    <d v="2023-03-12T00:00:00"/>
    <n v="6"/>
    <n v="100.99"/>
    <s v="Customer C4704"/>
    <x v="0"/>
    <x v="3"/>
    <x v="4"/>
    <n v="605.93999999999994"/>
    <x v="0"/>
    <n v="2023"/>
    <s v="Low Sales"/>
  </r>
  <r>
    <s v="C3216"/>
    <x v="4"/>
    <d v="2024-09-04T00:00:00"/>
    <n v="1"/>
    <n v="308.02"/>
    <s v="Customer C3216"/>
    <x v="0"/>
    <x v="2"/>
    <x v="0"/>
    <n v="308.02"/>
    <x v="2"/>
    <n v="2024"/>
    <s v="Low Sales"/>
  </r>
  <r>
    <s v="C1340"/>
    <x v="4"/>
    <d v="2023-11-30T00:00:00"/>
    <n v="8"/>
    <n v="82.29"/>
    <s v="Customer C1340"/>
    <x v="1"/>
    <x v="2"/>
    <x v="2"/>
    <n v="658.32"/>
    <x v="7"/>
    <n v="2023"/>
    <s v="Low Sales"/>
  </r>
  <r>
    <s v="C9330"/>
    <x v="5"/>
    <d v="2023-11-13T00:00:00"/>
    <n v="6"/>
    <n v="67.400000000000006"/>
    <s v="Customer C9330"/>
    <x v="2"/>
    <x v="0"/>
    <x v="1"/>
    <n v="404.4"/>
    <x v="7"/>
    <n v="2023"/>
    <s v="Low Sales"/>
  </r>
  <r>
    <s v="C1873"/>
    <x v="2"/>
    <d v="2024-08-17T00:00:00"/>
    <n v="6"/>
    <n v="223.32"/>
    <s v="Customer C1873"/>
    <x v="0"/>
    <x v="0"/>
    <x v="3"/>
    <n v="1339.92"/>
    <x v="4"/>
    <n v="2024"/>
    <s v="Low Sales"/>
  </r>
  <r>
    <s v="C5081"/>
    <x v="1"/>
    <d v="2023-12-10T00:00:00"/>
    <n v="3"/>
    <n v="227.94"/>
    <s v="Customer C5081"/>
    <x v="2"/>
    <x v="4"/>
    <x v="4"/>
    <n v="683.81999999999994"/>
    <x v="8"/>
    <n v="2023"/>
    <s v="Low Sales"/>
  </r>
  <r>
    <s v="C7633"/>
    <x v="1"/>
    <d v="2023-01-08T00:00:00"/>
    <n v="1"/>
    <n v="776.47"/>
    <s v="Customer C7633"/>
    <x v="1"/>
    <x v="1"/>
    <x v="1"/>
    <n v="776.47"/>
    <x v="6"/>
    <n v="2023"/>
    <s v="Low Sales"/>
  </r>
  <r>
    <s v="C1909"/>
    <x v="4"/>
    <d v="2023-03-12T00:00:00"/>
    <n v="7"/>
    <n v="197.08"/>
    <s v="Customer C1909"/>
    <x v="2"/>
    <x v="0"/>
    <x v="2"/>
    <n v="1379.56"/>
    <x v="0"/>
    <n v="2023"/>
    <s v="Low Sales"/>
  </r>
  <r>
    <s v="C6106"/>
    <x v="2"/>
    <d v="2024-10-26T00:00:00"/>
    <n v="1"/>
    <n v="55.74"/>
    <s v="Customer C6106"/>
    <x v="0"/>
    <x v="1"/>
    <x v="0"/>
    <n v="55.74"/>
    <x v="9"/>
    <n v="2024"/>
    <s v="Low Sales"/>
  </r>
  <r>
    <s v="C9534"/>
    <x v="1"/>
    <d v="2023-09-02T00:00:00"/>
    <n v="8"/>
    <n v="663.83"/>
    <s v="Customer C9534"/>
    <x v="0"/>
    <x v="3"/>
    <x v="0"/>
    <n v="5310.64"/>
    <x v="2"/>
    <n v="2023"/>
    <s v="High Sales"/>
  </r>
  <r>
    <s v="C1524"/>
    <x v="3"/>
    <d v="2024-07-14T00:00:00"/>
    <n v="8"/>
    <n v="521.44000000000005"/>
    <s v="Customer C1524"/>
    <x v="2"/>
    <x v="4"/>
    <x v="4"/>
    <n v="4171.5200000000004"/>
    <x v="11"/>
    <n v="2024"/>
    <s v="High Sales"/>
  </r>
  <r>
    <s v="C8164"/>
    <x v="4"/>
    <d v="2023-07-05T00:00:00"/>
    <n v="4"/>
    <n v="561.38"/>
    <s v="Customer C8164"/>
    <x v="1"/>
    <x v="1"/>
    <x v="0"/>
    <n v="2245.52"/>
    <x v="11"/>
    <n v="2023"/>
    <s v="High Sales"/>
  </r>
  <r>
    <s v="C5197"/>
    <x v="5"/>
    <d v="2025-01-25T00:00:00"/>
    <n v="3"/>
    <n v="624.15"/>
    <s v="Customer C5197"/>
    <x v="2"/>
    <x v="3"/>
    <x v="0"/>
    <n v="1872.45"/>
    <x v="6"/>
    <n v="2025"/>
    <s v="Low Sales"/>
  </r>
  <r>
    <s v="C2179"/>
    <x v="4"/>
    <d v="2025-06-29T00:00:00"/>
    <n v="7"/>
    <n v="513.51"/>
    <s v="Customer C2179"/>
    <x v="0"/>
    <x v="3"/>
    <x v="0"/>
    <n v="3594.57"/>
    <x v="1"/>
    <n v="2025"/>
    <s v="High Sales"/>
  </r>
  <r>
    <s v="C6836"/>
    <x v="0"/>
    <d v="2024-10-08T00:00:00"/>
    <n v="3"/>
    <n v="77.41"/>
    <s v="Customer C6836"/>
    <x v="0"/>
    <x v="0"/>
    <x v="0"/>
    <n v="232.23"/>
    <x v="9"/>
    <n v="2024"/>
    <s v="Low Sales"/>
  </r>
  <r>
    <s v="C9811"/>
    <x v="3"/>
    <d v="2025-04-08T00:00:00"/>
    <n v="3"/>
    <n v="754.2"/>
    <s v="Customer C9811"/>
    <x v="0"/>
    <x v="2"/>
    <x v="1"/>
    <n v="2262.6"/>
    <x v="3"/>
    <n v="2025"/>
    <s v="High Sales"/>
  </r>
  <r>
    <s v="C7855"/>
    <x v="6"/>
    <d v="2024-07-22T00:00:00"/>
    <n v="2"/>
    <n v="144.86000000000001"/>
    <s v="Customer C7855"/>
    <x v="0"/>
    <x v="2"/>
    <x v="2"/>
    <n v="289.72000000000003"/>
    <x v="11"/>
    <n v="2024"/>
    <s v="Low Sales"/>
  </r>
  <r>
    <s v="C1583"/>
    <x v="2"/>
    <d v="2023-04-20T00:00:00"/>
    <n v="4"/>
    <n v="576.35"/>
    <s v="Customer C1583"/>
    <x v="0"/>
    <x v="4"/>
    <x v="4"/>
    <n v="2305.4"/>
    <x v="3"/>
    <n v="2023"/>
    <s v="High Sales"/>
  </r>
  <r>
    <s v="C4332"/>
    <x v="2"/>
    <d v="2024-02-23T00:00:00"/>
    <n v="3"/>
    <n v="651.11"/>
    <s v="Customer C4332"/>
    <x v="2"/>
    <x v="4"/>
    <x v="3"/>
    <n v="1953.33"/>
    <x v="5"/>
    <n v="2024"/>
    <s v="Low Sales"/>
  </r>
  <r>
    <s v="C6726"/>
    <x v="1"/>
    <d v="2023-07-17T00:00:00"/>
    <n v="8"/>
    <n v="7.01"/>
    <s v="Customer C6726"/>
    <x v="0"/>
    <x v="3"/>
    <x v="0"/>
    <n v="56.08"/>
    <x v="11"/>
    <n v="2023"/>
    <s v="Low Sales"/>
  </r>
  <r>
    <s v="C1125"/>
    <x v="5"/>
    <d v="2025-06-18T00:00:00"/>
    <n v="8"/>
    <n v="144.27000000000001"/>
    <s v="Customer C1125"/>
    <x v="2"/>
    <x v="4"/>
    <x v="0"/>
    <n v="1154.1600000000001"/>
    <x v="1"/>
    <n v="2025"/>
    <s v="Low Sales"/>
  </r>
  <r>
    <s v="C3370"/>
    <x v="4"/>
    <d v="2024-04-21T00:00:00"/>
    <n v="7"/>
    <n v="734.16"/>
    <s v="Customer C3370"/>
    <x v="0"/>
    <x v="1"/>
    <x v="0"/>
    <n v="5139.12"/>
    <x v="3"/>
    <n v="2024"/>
    <s v="High Sales"/>
  </r>
  <r>
    <s v="C6898"/>
    <x v="5"/>
    <d v="2025-06-09T00:00:00"/>
    <n v="8"/>
    <n v="253.18"/>
    <s v="Customer C6898"/>
    <x v="1"/>
    <x v="1"/>
    <x v="2"/>
    <n v="2025.44"/>
    <x v="1"/>
    <n v="2025"/>
    <s v="High Sales"/>
  </r>
  <r>
    <s v="C6035"/>
    <x v="3"/>
    <d v="2024-11-08T00:00:00"/>
    <n v="8"/>
    <n v="798.64"/>
    <s v="Customer C6035"/>
    <x v="2"/>
    <x v="4"/>
    <x v="3"/>
    <n v="6389.12"/>
    <x v="7"/>
    <n v="2024"/>
    <s v="High Sales"/>
  </r>
  <r>
    <s v="C3796"/>
    <x v="3"/>
    <d v="2024-11-14T00:00:00"/>
    <n v="2"/>
    <n v="506.84"/>
    <s v="Customer C3796"/>
    <x v="1"/>
    <x v="2"/>
    <x v="3"/>
    <n v="1013.68"/>
    <x v="7"/>
    <n v="2024"/>
    <s v="Low Sales"/>
  </r>
  <r>
    <s v="C5477"/>
    <x v="2"/>
    <d v="2023-07-19T00:00:00"/>
    <n v="6"/>
    <n v="227.14"/>
    <s v="Customer C5477"/>
    <x v="0"/>
    <x v="2"/>
    <x v="0"/>
    <n v="1362.84"/>
    <x v="11"/>
    <n v="2023"/>
    <s v="Low Sales"/>
  </r>
  <r>
    <s v="C7672"/>
    <x v="0"/>
    <d v="2025-06-20T00:00:00"/>
    <n v="5"/>
    <n v="773.23"/>
    <s v="Customer C7672"/>
    <x v="2"/>
    <x v="4"/>
    <x v="1"/>
    <n v="3866.15"/>
    <x v="1"/>
    <n v="2025"/>
    <s v="High Sales"/>
  </r>
  <r>
    <s v="C2352"/>
    <x v="1"/>
    <d v="2023-09-18T00:00:00"/>
    <n v="3"/>
    <n v="388.05"/>
    <s v="Customer C2352"/>
    <x v="2"/>
    <x v="4"/>
    <x v="3"/>
    <n v="1164.1500000000001"/>
    <x v="2"/>
    <n v="2023"/>
    <s v="Low Sales"/>
  </r>
  <r>
    <s v="C5062"/>
    <x v="1"/>
    <d v="2024-10-11T00:00:00"/>
    <n v="6"/>
    <n v="298.48"/>
    <s v="Customer C5062"/>
    <x v="0"/>
    <x v="4"/>
    <x v="3"/>
    <n v="1790.88"/>
    <x v="9"/>
    <n v="2024"/>
    <s v="Low Sales"/>
  </r>
  <r>
    <s v="C2346"/>
    <x v="5"/>
    <d v="2024-02-04T00:00:00"/>
    <n v="3"/>
    <n v="365.21"/>
    <s v="Customer C2346"/>
    <x v="2"/>
    <x v="4"/>
    <x v="3"/>
    <n v="1095.6300000000001"/>
    <x v="5"/>
    <n v="2024"/>
    <s v="Low Sales"/>
  </r>
  <r>
    <s v="C4758"/>
    <x v="6"/>
    <d v="2023-08-05T00:00:00"/>
    <n v="3"/>
    <n v="137.72999999999999"/>
    <s v="Customer C4758"/>
    <x v="2"/>
    <x v="2"/>
    <x v="0"/>
    <n v="413.18999999999988"/>
    <x v="4"/>
    <n v="2023"/>
    <s v="Low Sales"/>
  </r>
  <r>
    <s v="C8160"/>
    <x v="1"/>
    <d v="2023-11-07T00:00:00"/>
    <n v="2"/>
    <n v="224.29"/>
    <s v="Customer C8160"/>
    <x v="2"/>
    <x v="3"/>
    <x v="0"/>
    <n v="448.58"/>
    <x v="7"/>
    <n v="2023"/>
    <s v="Low Sales"/>
  </r>
  <r>
    <s v="C5889"/>
    <x v="4"/>
    <d v="2024-07-02T00:00:00"/>
    <n v="2"/>
    <n v="77.790000000000006"/>
    <s v="Customer C5889"/>
    <x v="1"/>
    <x v="2"/>
    <x v="3"/>
    <n v="155.58000000000001"/>
    <x v="11"/>
    <n v="2024"/>
    <s v="Low Sales"/>
  </r>
  <r>
    <s v="C6643"/>
    <x v="3"/>
    <d v="2023-07-05T00:00:00"/>
    <n v="3"/>
    <n v="611.67999999999995"/>
    <s v="Customer C6643"/>
    <x v="2"/>
    <x v="2"/>
    <x v="1"/>
    <n v="1835.04"/>
    <x v="11"/>
    <n v="2023"/>
    <s v="Low Sales"/>
  </r>
  <r>
    <s v="C5903"/>
    <x v="2"/>
    <d v="2025-04-24T00:00:00"/>
    <n v="2"/>
    <n v="209.06"/>
    <s v="Customer C5903"/>
    <x v="1"/>
    <x v="3"/>
    <x v="0"/>
    <n v="418.12"/>
    <x v="3"/>
    <n v="2025"/>
    <s v="Low Sales"/>
  </r>
  <r>
    <s v="C9561"/>
    <x v="6"/>
    <d v="2023-11-23T00:00:00"/>
    <n v="4"/>
    <n v="537.88"/>
    <s v="Customer C9561"/>
    <x v="1"/>
    <x v="2"/>
    <x v="3"/>
    <n v="2151.52"/>
    <x v="7"/>
    <n v="2023"/>
    <s v="High Sales"/>
  </r>
  <r>
    <s v="C8455"/>
    <x v="3"/>
    <d v="2023-08-22T00:00:00"/>
    <n v="7"/>
    <n v="230.59"/>
    <s v="Customer C8455"/>
    <x v="2"/>
    <x v="0"/>
    <x v="0"/>
    <n v="1614.13"/>
    <x v="4"/>
    <n v="2023"/>
    <s v="Low Sales"/>
  </r>
  <r>
    <s v="C8651"/>
    <x v="4"/>
    <d v="2024-03-22T00:00:00"/>
    <n v="5"/>
    <n v="54.45"/>
    <s v="Customer C8651"/>
    <x v="1"/>
    <x v="1"/>
    <x v="2"/>
    <n v="272.25"/>
    <x v="0"/>
    <n v="2024"/>
    <s v="Low Sales"/>
  </r>
  <r>
    <s v="C5641"/>
    <x v="6"/>
    <d v="2025-05-06T00:00:00"/>
    <n v="2"/>
    <n v="56.11"/>
    <s v="Customer C5641"/>
    <x v="1"/>
    <x v="2"/>
    <x v="4"/>
    <n v="112.22"/>
    <x v="10"/>
    <n v="2025"/>
    <s v="Low Sales"/>
  </r>
  <r>
    <s v="C2043"/>
    <x v="6"/>
    <d v="2024-08-08T00:00:00"/>
    <n v="2"/>
    <n v="320.49"/>
    <s v="Customer C2043"/>
    <x v="0"/>
    <x v="0"/>
    <x v="1"/>
    <n v="640.98"/>
    <x v="4"/>
    <n v="2024"/>
    <s v="Low Sales"/>
  </r>
  <r>
    <s v="C6587"/>
    <x v="4"/>
    <d v="2023-12-24T00:00:00"/>
    <n v="4"/>
    <n v="386.07"/>
    <s v="Customer C6587"/>
    <x v="2"/>
    <x v="0"/>
    <x v="3"/>
    <n v="1544.28"/>
    <x v="8"/>
    <n v="2023"/>
    <s v="Low Sales"/>
  </r>
  <r>
    <s v="C6767"/>
    <x v="1"/>
    <d v="2024-07-16T00:00:00"/>
    <n v="3"/>
    <n v="279.64999999999998"/>
    <s v="Customer C6767"/>
    <x v="0"/>
    <x v="4"/>
    <x v="0"/>
    <n v="838.94999999999993"/>
    <x v="11"/>
    <n v="2024"/>
    <s v="Low Sales"/>
  </r>
  <r>
    <s v="C9008"/>
    <x v="4"/>
    <d v="2023-11-27T00:00:00"/>
    <n v="4"/>
    <n v="53.37"/>
    <s v="Customer C9008"/>
    <x v="1"/>
    <x v="3"/>
    <x v="2"/>
    <n v="213.48"/>
    <x v="7"/>
    <n v="2023"/>
    <s v="Low Sales"/>
  </r>
  <r>
    <s v="C3709"/>
    <x v="1"/>
    <d v="2025-06-20T00:00:00"/>
    <n v="8"/>
    <n v="23.14"/>
    <s v="Customer C3709"/>
    <x v="0"/>
    <x v="3"/>
    <x v="3"/>
    <n v="185.12"/>
    <x v="1"/>
    <n v="2025"/>
    <s v="Low Sales"/>
  </r>
  <r>
    <s v="C2580"/>
    <x v="0"/>
    <d v="2023-05-10T00:00:00"/>
    <n v="5"/>
    <n v="86.63"/>
    <s v="Customer C2580"/>
    <x v="2"/>
    <x v="1"/>
    <x v="0"/>
    <n v="433.15"/>
    <x v="10"/>
    <n v="2023"/>
    <s v="Low Sales"/>
  </r>
  <r>
    <s v="C2929"/>
    <x v="2"/>
    <d v="2024-09-07T00:00:00"/>
    <n v="8"/>
    <n v="564.54999999999995"/>
    <s v="Customer C2929"/>
    <x v="0"/>
    <x v="2"/>
    <x v="3"/>
    <n v="4516.3999999999996"/>
    <x v="2"/>
    <n v="2024"/>
    <s v="High Sales"/>
  </r>
  <r>
    <s v="C9725"/>
    <x v="3"/>
    <d v="2024-04-01T00:00:00"/>
    <n v="5"/>
    <n v="321.10000000000002"/>
    <s v="Customer C9725"/>
    <x v="2"/>
    <x v="2"/>
    <x v="3"/>
    <n v="1605.5"/>
    <x v="3"/>
    <n v="2024"/>
    <s v="Low Sales"/>
  </r>
  <r>
    <s v="C4099"/>
    <x v="3"/>
    <d v="2023-02-15T00:00:00"/>
    <n v="8"/>
    <n v="219.37"/>
    <s v="Customer C4099"/>
    <x v="1"/>
    <x v="3"/>
    <x v="0"/>
    <n v="1754.96"/>
    <x v="5"/>
    <n v="2023"/>
    <s v="Low Sales"/>
  </r>
  <r>
    <s v="C3423"/>
    <x v="5"/>
    <d v="2025-02-20T00:00:00"/>
    <n v="8"/>
    <n v="670.57"/>
    <s v="Customer C3423"/>
    <x v="1"/>
    <x v="2"/>
    <x v="4"/>
    <n v="5364.56"/>
    <x v="5"/>
    <n v="2025"/>
    <s v="High Sales"/>
  </r>
  <r>
    <s v="C3127"/>
    <x v="5"/>
    <d v="2023-07-08T00:00:00"/>
    <n v="1"/>
    <n v="295.56"/>
    <s v="Customer C3127"/>
    <x v="2"/>
    <x v="4"/>
    <x v="3"/>
    <n v="295.56"/>
    <x v="11"/>
    <n v="2023"/>
    <s v="Low Sales"/>
  </r>
  <r>
    <s v="C3834"/>
    <x v="6"/>
    <d v="2023-02-10T00:00:00"/>
    <n v="1"/>
    <n v="719.55"/>
    <s v="Customer C3834"/>
    <x v="1"/>
    <x v="0"/>
    <x v="1"/>
    <n v="719.55"/>
    <x v="5"/>
    <n v="2023"/>
    <s v="Low Sales"/>
  </r>
  <r>
    <s v="C2424"/>
    <x v="4"/>
    <d v="2024-07-17T00:00:00"/>
    <n v="5"/>
    <n v="736.19"/>
    <s v="Customer C2424"/>
    <x v="2"/>
    <x v="4"/>
    <x v="1"/>
    <n v="3680.95"/>
    <x v="11"/>
    <n v="2024"/>
    <s v="High Sales"/>
  </r>
  <r>
    <s v="C3696"/>
    <x v="0"/>
    <d v="2023-05-18T00:00:00"/>
    <n v="6"/>
    <n v="520.86"/>
    <s v="Customer C3696"/>
    <x v="2"/>
    <x v="4"/>
    <x v="0"/>
    <n v="3125.16"/>
    <x v="10"/>
    <n v="2023"/>
    <s v="High Sales"/>
  </r>
  <r>
    <s v="C5589"/>
    <x v="2"/>
    <d v="2024-04-12T00:00:00"/>
    <n v="6"/>
    <n v="234.97"/>
    <s v="Customer C5589"/>
    <x v="0"/>
    <x v="0"/>
    <x v="1"/>
    <n v="1409.82"/>
    <x v="3"/>
    <n v="2024"/>
    <s v="Low Sales"/>
  </r>
  <r>
    <s v="C7460"/>
    <x v="5"/>
    <d v="2024-10-26T00:00:00"/>
    <n v="3"/>
    <n v="554.78"/>
    <s v="Customer C7460"/>
    <x v="1"/>
    <x v="4"/>
    <x v="0"/>
    <n v="1664.34"/>
    <x v="9"/>
    <n v="2024"/>
    <s v="Low Sales"/>
  </r>
  <r>
    <s v="C9421"/>
    <x v="1"/>
    <d v="2023-11-04T00:00:00"/>
    <n v="5"/>
    <n v="145.88999999999999"/>
    <s v="Customer C9421"/>
    <x v="1"/>
    <x v="1"/>
    <x v="4"/>
    <n v="729.44999999999993"/>
    <x v="7"/>
    <n v="2023"/>
    <s v="Low Sales"/>
  </r>
  <r>
    <s v="C9893"/>
    <x v="4"/>
    <d v="2024-12-07T00:00:00"/>
    <n v="4"/>
    <n v="82.16"/>
    <s v="Customer C9893"/>
    <x v="2"/>
    <x v="1"/>
    <x v="2"/>
    <n v="328.64"/>
    <x v="8"/>
    <n v="2024"/>
    <s v="Low Sales"/>
  </r>
  <r>
    <s v="C2576"/>
    <x v="5"/>
    <d v="2024-08-20T00:00:00"/>
    <n v="1"/>
    <n v="297.06"/>
    <s v="Customer C2576"/>
    <x v="0"/>
    <x v="4"/>
    <x v="3"/>
    <n v="297.06"/>
    <x v="4"/>
    <n v="2024"/>
    <s v="Low Sales"/>
  </r>
  <r>
    <s v="C3578"/>
    <x v="6"/>
    <d v="2023-07-26T00:00:00"/>
    <n v="6"/>
    <n v="493.21"/>
    <s v="Customer C3578"/>
    <x v="0"/>
    <x v="0"/>
    <x v="4"/>
    <n v="2959.26"/>
    <x v="11"/>
    <n v="2023"/>
    <s v="High Sales"/>
  </r>
  <r>
    <s v="C8457"/>
    <x v="4"/>
    <d v="2023-09-14T00:00:00"/>
    <n v="1"/>
    <n v="317.56"/>
    <s v="Customer C8457"/>
    <x v="2"/>
    <x v="1"/>
    <x v="4"/>
    <n v="317.56"/>
    <x v="2"/>
    <n v="2023"/>
    <s v="Low Sales"/>
  </r>
  <r>
    <s v="C3411"/>
    <x v="3"/>
    <d v="2024-04-07T00:00:00"/>
    <n v="8"/>
    <n v="588.39"/>
    <s v="Customer C3411"/>
    <x v="0"/>
    <x v="3"/>
    <x v="3"/>
    <n v="4707.12"/>
    <x v="3"/>
    <n v="2024"/>
    <s v="High Sales"/>
  </r>
  <r>
    <s v="C2981"/>
    <x v="4"/>
    <d v="2024-04-28T00:00:00"/>
    <n v="6"/>
    <n v="767.89"/>
    <s v="Customer C2981"/>
    <x v="0"/>
    <x v="0"/>
    <x v="1"/>
    <n v="4607.34"/>
    <x v="3"/>
    <n v="2024"/>
    <s v="High Sales"/>
  </r>
  <r>
    <s v="C9624"/>
    <x v="1"/>
    <d v="2024-08-19T00:00:00"/>
    <n v="8"/>
    <n v="531.66"/>
    <s v="Customer C9624"/>
    <x v="2"/>
    <x v="4"/>
    <x v="1"/>
    <n v="4253.28"/>
    <x v="4"/>
    <n v="2024"/>
    <s v="High Sales"/>
  </r>
  <r>
    <s v="C3846"/>
    <x v="4"/>
    <d v="2023-12-09T00:00:00"/>
    <n v="5"/>
    <n v="127.17"/>
    <s v="Customer C3846"/>
    <x v="1"/>
    <x v="2"/>
    <x v="4"/>
    <n v="635.85"/>
    <x v="8"/>
    <n v="2023"/>
    <s v="Low Sales"/>
  </r>
  <r>
    <s v="C2970"/>
    <x v="1"/>
    <d v="2023-11-17T00:00:00"/>
    <n v="8"/>
    <n v="52.24"/>
    <s v="Customer C2970"/>
    <x v="0"/>
    <x v="1"/>
    <x v="3"/>
    <n v="417.92"/>
    <x v="7"/>
    <n v="2023"/>
    <s v="Low Sales"/>
  </r>
  <r>
    <s v="C7397"/>
    <x v="3"/>
    <d v="2023-04-22T00:00:00"/>
    <n v="7"/>
    <n v="127.4"/>
    <s v="Customer C7397"/>
    <x v="0"/>
    <x v="4"/>
    <x v="1"/>
    <n v="891.80000000000007"/>
    <x v="3"/>
    <n v="2023"/>
    <s v="Low Sales"/>
  </r>
  <r>
    <s v="C7476"/>
    <x v="5"/>
    <d v="2025-02-13T00:00:00"/>
    <n v="1"/>
    <n v="117.5"/>
    <s v="Customer C7476"/>
    <x v="0"/>
    <x v="1"/>
    <x v="4"/>
    <n v="117.5"/>
    <x v="5"/>
    <n v="2025"/>
    <s v="Low Sales"/>
  </r>
  <r>
    <s v="C4936"/>
    <x v="0"/>
    <d v="2024-06-10T00:00:00"/>
    <n v="7"/>
    <n v="25.92"/>
    <s v="Customer C4936"/>
    <x v="2"/>
    <x v="1"/>
    <x v="1"/>
    <n v="181.44"/>
    <x v="1"/>
    <n v="2024"/>
    <s v="Low Sales"/>
  </r>
  <r>
    <s v="C1147"/>
    <x v="0"/>
    <d v="2024-10-21T00:00:00"/>
    <n v="3"/>
    <n v="731.78"/>
    <s v="Customer C1147"/>
    <x v="1"/>
    <x v="2"/>
    <x v="0"/>
    <n v="2195.34"/>
    <x v="9"/>
    <n v="2024"/>
    <s v="High Sales"/>
  </r>
  <r>
    <s v="C8351"/>
    <x v="4"/>
    <d v="2024-04-25T00:00:00"/>
    <n v="7"/>
    <n v="676.7"/>
    <s v="Customer C8351"/>
    <x v="0"/>
    <x v="4"/>
    <x v="3"/>
    <n v="4736.9000000000005"/>
    <x v="3"/>
    <n v="2024"/>
    <s v="High Sales"/>
  </r>
  <r>
    <s v="C2503"/>
    <x v="6"/>
    <d v="2024-10-12T00:00:00"/>
    <n v="6"/>
    <n v="437.5"/>
    <s v="Customer C2503"/>
    <x v="1"/>
    <x v="0"/>
    <x v="3"/>
    <n v="2625"/>
    <x v="9"/>
    <n v="2024"/>
    <s v="High Sales"/>
  </r>
  <r>
    <s v="C3964"/>
    <x v="2"/>
    <d v="2023-12-02T00:00:00"/>
    <n v="1"/>
    <n v="72.650000000000006"/>
    <s v="Customer C3964"/>
    <x v="1"/>
    <x v="0"/>
    <x v="3"/>
    <n v="72.650000000000006"/>
    <x v="8"/>
    <n v="2023"/>
    <s v="Low Sales"/>
  </r>
  <r>
    <s v="C8498"/>
    <x v="6"/>
    <d v="2023-11-20T00:00:00"/>
    <n v="7"/>
    <n v="10.71"/>
    <s v="Customer C8498"/>
    <x v="2"/>
    <x v="2"/>
    <x v="3"/>
    <n v="74.97"/>
    <x v="7"/>
    <n v="2023"/>
    <s v="Low Sales"/>
  </r>
  <r>
    <s v="C4057"/>
    <x v="5"/>
    <d v="2024-09-01T00:00:00"/>
    <n v="1"/>
    <n v="228.75"/>
    <s v="Customer C4057"/>
    <x v="1"/>
    <x v="2"/>
    <x v="4"/>
    <n v="228.75"/>
    <x v="2"/>
    <n v="2024"/>
    <s v="Low Sales"/>
  </r>
  <r>
    <s v="C2039"/>
    <x v="6"/>
    <d v="2025-01-12T00:00:00"/>
    <n v="7"/>
    <n v="742.81"/>
    <s v="Customer C2039"/>
    <x v="1"/>
    <x v="2"/>
    <x v="3"/>
    <n v="5199.67"/>
    <x v="6"/>
    <n v="2025"/>
    <s v="High Sales"/>
  </r>
  <r>
    <s v="C6116"/>
    <x v="5"/>
    <d v="2024-06-17T00:00:00"/>
    <n v="6"/>
    <n v="520"/>
    <s v="Customer C6116"/>
    <x v="0"/>
    <x v="4"/>
    <x v="2"/>
    <n v="3120"/>
    <x v="1"/>
    <n v="2024"/>
    <s v="High Sales"/>
  </r>
  <r>
    <s v="C8532"/>
    <x v="1"/>
    <d v="2024-06-17T00:00:00"/>
    <n v="7"/>
    <n v="788.19"/>
    <s v="Customer C8532"/>
    <x v="2"/>
    <x v="1"/>
    <x v="4"/>
    <n v="5517.33"/>
    <x v="1"/>
    <n v="2024"/>
    <s v="High Sales"/>
  </r>
  <r>
    <s v="C5230"/>
    <x v="4"/>
    <d v="2025-05-30T00:00:00"/>
    <n v="7"/>
    <n v="677.52"/>
    <s v="Customer C5230"/>
    <x v="0"/>
    <x v="4"/>
    <x v="3"/>
    <n v="4742.6399999999994"/>
    <x v="10"/>
    <n v="2025"/>
    <s v="High Sales"/>
  </r>
  <r>
    <s v="C5408"/>
    <x v="6"/>
    <d v="2024-09-01T00:00:00"/>
    <n v="1"/>
    <n v="502.03"/>
    <s v="Customer C5408"/>
    <x v="0"/>
    <x v="0"/>
    <x v="4"/>
    <n v="502.03"/>
    <x v="2"/>
    <n v="2024"/>
    <s v="Low Sales"/>
  </r>
  <r>
    <s v="C5392"/>
    <x v="0"/>
    <d v="2024-08-26T00:00:00"/>
    <n v="2"/>
    <n v="331.07"/>
    <s v="Customer C5392"/>
    <x v="2"/>
    <x v="0"/>
    <x v="2"/>
    <n v="662.14"/>
    <x v="4"/>
    <n v="2024"/>
    <s v="Low Sales"/>
  </r>
  <r>
    <s v="C8238"/>
    <x v="2"/>
    <d v="2023-05-15T00:00:00"/>
    <n v="3"/>
    <n v="13.08"/>
    <s v="Customer C8238"/>
    <x v="2"/>
    <x v="4"/>
    <x v="2"/>
    <n v="39.24"/>
    <x v="10"/>
    <n v="2023"/>
    <s v="Low Sales"/>
  </r>
  <r>
    <s v="C8831"/>
    <x v="4"/>
    <d v="2023-02-06T00:00:00"/>
    <n v="4"/>
    <n v="323.02999999999997"/>
    <s v="Customer C8831"/>
    <x v="1"/>
    <x v="1"/>
    <x v="3"/>
    <n v="1292.1199999999999"/>
    <x v="5"/>
    <n v="2023"/>
    <s v="Low Sales"/>
  </r>
  <r>
    <s v="C6514"/>
    <x v="0"/>
    <d v="2024-08-08T00:00:00"/>
    <n v="5"/>
    <n v="129.86000000000001"/>
    <s v="Customer C6514"/>
    <x v="1"/>
    <x v="0"/>
    <x v="1"/>
    <n v="649.30000000000007"/>
    <x v="4"/>
    <n v="2024"/>
    <s v="Low Sales"/>
  </r>
  <r>
    <s v="C3334"/>
    <x v="3"/>
    <d v="2024-02-03T00:00:00"/>
    <n v="3"/>
    <n v="493.15"/>
    <s v="Customer C3334"/>
    <x v="2"/>
    <x v="2"/>
    <x v="4"/>
    <n v="1479.45"/>
    <x v="5"/>
    <n v="2024"/>
    <s v="Low Sales"/>
  </r>
  <r>
    <s v="C9593"/>
    <x v="3"/>
    <d v="2025-05-11T00:00:00"/>
    <n v="7"/>
    <n v="390.86"/>
    <s v="Customer C9593"/>
    <x v="0"/>
    <x v="4"/>
    <x v="2"/>
    <n v="2736.02"/>
    <x v="10"/>
    <n v="2025"/>
    <s v="High S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9CFC6-AA8A-468E-892E-71F3B0D45B0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7" firstHeaderRow="1" firstDataRow="1" firstDataCol="1"/>
  <pivotFields count="13">
    <pivotField showAll="0"/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numFmtId="164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1BE52-70D4-4E7F-BB64-AE3C8FD610B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3">
    <pivotField showAll="0"/>
    <pivotField axis="axisRow" showAll="0">
      <items count="8">
        <item x="2"/>
        <item x="5"/>
        <item x="1"/>
        <item x="4"/>
        <item x="0"/>
        <item x="3"/>
        <item x="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EBD6C-FB6B-426E-989B-D8B3E1B8146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P3:Q11" firstHeaderRow="1" firstDataRow="1" firstDataCol="1"/>
  <pivotFields count="13">
    <pivotField showAll="0"/>
    <pivotField axis="axisRow" showAll="0">
      <items count="8">
        <item x="2"/>
        <item x="5"/>
        <item x="1"/>
        <item x="4"/>
        <item x="0"/>
        <item x="3"/>
        <item x="6"/>
        <item t="default"/>
      </items>
    </pivotField>
    <pivotField numFmtId="164" showAll="0"/>
    <pivotField showAll="0"/>
    <pivotField showAll="0"/>
    <pivotField showAll="0"/>
    <pivotField showAll="0"/>
    <pivotField showAll="0"/>
    <pivotField dataField="1"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13">
        <item x="6"/>
        <item x="5"/>
        <item x="0"/>
        <item x="3"/>
        <item x="10"/>
        <item x="1"/>
        <item x="11"/>
        <item x="4"/>
        <item x="2"/>
        <item x="9"/>
        <item x="7"/>
        <item x="8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viewRating" fld="8" subtotal="average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FFECF-18DF-4CDE-B3F4-8F88B7AB481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3:M16" firstHeaderRow="1" firstDataRow="1" firstDataCol="1"/>
  <pivotFields count="13">
    <pivotField showAll="0"/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6"/>
        <item x="5"/>
        <item x="0"/>
        <item x="3"/>
        <item x="10"/>
        <item x="1"/>
        <item x="11"/>
        <item x="4"/>
        <item x="2"/>
        <item x="9"/>
        <item x="7"/>
        <item x="8"/>
        <item t="default"/>
      </items>
    </pivotField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EF09F-13BD-4095-B64C-1132A8B5972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3:J9" firstHeaderRow="1" firstDataRow="1" firstDataCol="1"/>
  <pivotFields count="13">
    <pivotField dataField="1" showAll="0"/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numFmtId="164"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FE90D-EBDB-4989-BC9C-DB4F6682CDB6}" name="Table1" displayName="Table1" ref="A1:M1801" totalsRowShown="0" headerRowDxfId="6" headerRowBorderDxfId="5" tableBorderDxfId="4">
  <autoFilter ref="A1:M1801" xr:uid="{212FE90D-EBDB-4989-BC9C-DB4F6682CDB6}"/>
  <tableColumns count="13">
    <tableColumn id="1" xr3:uid="{16513197-AE46-4B90-A323-19B0F87ACFB9}" name="CustomerID"/>
    <tableColumn id="2" xr3:uid="{3B64AC7B-27FA-41EE-8265-213C9098917C}" name="Product"/>
    <tableColumn id="3" xr3:uid="{6273CD77-CF5F-44E1-A03A-98A62CFB4419}" name="PurchaseDate" dataDxfId="3"/>
    <tableColumn id="4" xr3:uid="{16B51C35-C1B1-43A9-B053-0FD0657BD8F5}" name="Quantity"/>
    <tableColumn id="5" xr3:uid="{D2478465-8147-4436-A8D8-0CC9C5D492CE}" name="UnitPrice"/>
    <tableColumn id="6" xr3:uid="{B6876D39-5D3F-457E-BC2A-4C20A2A367B5}" name="CustomerName"/>
    <tableColumn id="7" xr3:uid="{E7CC582D-9379-4F9E-81BF-826D92E947E5}" name="ProductCategory"/>
    <tableColumn id="8" xr3:uid="{A48EAF65-12A5-4845-BB8B-DD296798793A}" name="PaymentMethod"/>
    <tableColumn id="9" xr3:uid="{20603A9B-02B2-49CD-9101-C75C0D84166C}" name="ReviewRating"/>
    <tableColumn id="10" xr3:uid="{092D87E4-6B2E-46CB-B40B-8BB59D94BF66}" name="TotalPrice"/>
    <tableColumn id="11" xr3:uid="{6ADD4144-D9C0-4075-AA7B-575AA5086423}" name="Month" dataDxfId="2">
      <calculatedColumnFormula>TEXT(Table1[[#This Row],[PurchaseDate]],"mmm")</calculatedColumnFormula>
    </tableColumn>
    <tableColumn id="12" xr3:uid="{9C110E23-34B1-4F67-9EBD-383842BD2AE8}" name="Year" dataDxfId="1">
      <calculatedColumnFormula>YEAR(Table1[[#This Row],[PurchaseDate]])</calculatedColumnFormula>
    </tableColumn>
    <tableColumn id="13" xr3:uid="{589B8719-6E55-487A-A311-A4033B94F548}" name="Sales Category" dataDxfId="0">
      <calculatedColumnFormula>IF(Table1[[#This Row],[TotalPrice]]&gt;2000,"High Sales","Low Sales")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C82A-8324-42D6-B89E-9371C8B47257}">
  <dimension ref="A3:Q16"/>
  <sheetViews>
    <sheetView tabSelected="1" topLeftCell="L2" workbookViewId="0">
      <selection activeCell="T6" sqref="T6:V17"/>
    </sheetView>
  </sheetViews>
  <sheetFormatPr defaultRowHeight="14.4" x14ac:dyDescent="0.3"/>
  <cols>
    <col min="1" max="1" width="12.5546875" bestFit="1" customWidth="1"/>
    <col min="2" max="2" width="15.88671875" bestFit="1" customWidth="1"/>
    <col min="4" max="4" width="13.109375" bestFit="1" customWidth="1"/>
    <col min="5" max="5" width="15.88671875" bestFit="1" customWidth="1"/>
    <col min="9" max="9" width="12.5546875" bestFit="1" customWidth="1"/>
    <col min="10" max="11" width="18.88671875" bestFit="1" customWidth="1"/>
    <col min="12" max="12" width="12.5546875" bestFit="1" customWidth="1"/>
    <col min="13" max="13" width="15.88671875" bestFit="1" customWidth="1"/>
    <col min="16" max="16" width="12.5546875" bestFit="1" customWidth="1"/>
    <col min="17" max="17" width="22.21875" bestFit="1" customWidth="1"/>
  </cols>
  <sheetData>
    <row r="3" spans="1:17" x14ac:dyDescent="0.3">
      <c r="A3" s="3" t="s">
        <v>3312</v>
      </c>
      <c r="B3" t="s">
        <v>3314</v>
      </c>
      <c r="D3" s="3" t="s">
        <v>3312</v>
      </c>
      <c r="E3" t="s">
        <v>3314</v>
      </c>
      <c r="I3" s="3" t="s">
        <v>3312</v>
      </c>
      <c r="J3" t="s">
        <v>3315</v>
      </c>
      <c r="L3" s="3" t="s">
        <v>3312</v>
      </c>
      <c r="M3" t="s">
        <v>3314</v>
      </c>
      <c r="P3" s="3" t="s">
        <v>3312</v>
      </c>
      <c r="Q3" t="s">
        <v>3328</v>
      </c>
    </row>
    <row r="4" spans="1:17" x14ac:dyDescent="0.3">
      <c r="A4" s="4" t="s">
        <v>1654</v>
      </c>
      <c r="B4">
        <v>443118.7100000002</v>
      </c>
      <c r="D4" s="4" t="s">
        <v>3302</v>
      </c>
      <c r="E4">
        <v>1049911.9800000007</v>
      </c>
      <c r="I4" s="4" t="s">
        <v>3304</v>
      </c>
      <c r="J4">
        <v>356</v>
      </c>
      <c r="L4" s="4" t="s">
        <v>3316</v>
      </c>
      <c r="M4">
        <v>315133.46999999997</v>
      </c>
      <c r="P4" s="4" t="s">
        <v>1654</v>
      </c>
      <c r="Q4">
        <v>2.9920948616600791</v>
      </c>
    </row>
    <row r="5" spans="1:17" x14ac:dyDescent="0.3">
      <c r="A5" s="4" t="s">
        <v>1657</v>
      </c>
      <c r="B5">
        <v>454006.70000000007</v>
      </c>
      <c r="D5" s="4" t="s">
        <v>3303</v>
      </c>
      <c r="E5">
        <v>1083282.2499999988</v>
      </c>
      <c r="I5" s="4" t="s">
        <v>3306</v>
      </c>
      <c r="J5">
        <v>349</v>
      </c>
      <c r="L5" s="4" t="s">
        <v>3317</v>
      </c>
      <c r="M5">
        <v>311696.2300000001</v>
      </c>
      <c r="P5" s="4" t="s">
        <v>1657</v>
      </c>
      <c r="Q5">
        <v>2.92578125</v>
      </c>
    </row>
    <row r="6" spans="1:17" x14ac:dyDescent="0.3">
      <c r="A6" s="4" t="s">
        <v>1653</v>
      </c>
      <c r="B6">
        <v>481721.40000000014</v>
      </c>
      <c r="D6" s="4" t="s">
        <v>3301</v>
      </c>
      <c r="E6">
        <v>1133462.57</v>
      </c>
      <c r="I6" s="4" t="s">
        <v>3305</v>
      </c>
      <c r="J6">
        <v>396</v>
      </c>
      <c r="L6" s="4" t="s">
        <v>3318</v>
      </c>
      <c r="M6">
        <v>293225.57000000007</v>
      </c>
      <c r="P6" s="4" t="s">
        <v>1653</v>
      </c>
      <c r="Q6">
        <v>2.9178571428571427</v>
      </c>
    </row>
    <row r="7" spans="1:17" x14ac:dyDescent="0.3">
      <c r="A7" s="4" t="s">
        <v>1656</v>
      </c>
      <c r="B7">
        <v>468632.8</v>
      </c>
      <c r="D7" s="4" t="s">
        <v>3313</v>
      </c>
      <c r="E7">
        <v>3266656.8</v>
      </c>
      <c r="I7" s="4" t="s">
        <v>3307</v>
      </c>
      <c r="J7">
        <v>353</v>
      </c>
      <c r="L7" s="4" t="s">
        <v>3319</v>
      </c>
      <c r="M7">
        <v>292344.94999999995</v>
      </c>
      <c r="P7" s="4" t="s">
        <v>1656</v>
      </c>
      <c r="Q7">
        <v>3.0590551181102361</v>
      </c>
    </row>
    <row r="8" spans="1:17" x14ac:dyDescent="0.3">
      <c r="A8" s="4" t="s">
        <v>1652</v>
      </c>
      <c r="B8">
        <v>444989.71999999974</v>
      </c>
      <c r="I8" s="4" t="s">
        <v>3308</v>
      </c>
      <c r="J8">
        <v>346</v>
      </c>
      <c r="L8" s="4" t="s">
        <v>3320</v>
      </c>
      <c r="M8">
        <v>385029.5</v>
      </c>
      <c r="P8" s="4" t="s">
        <v>1652</v>
      </c>
      <c r="Q8">
        <v>2.9918699186991868</v>
      </c>
    </row>
    <row r="9" spans="1:17" x14ac:dyDescent="0.3">
      <c r="A9" s="4" t="s">
        <v>1655</v>
      </c>
      <c r="B9">
        <v>441096.47</v>
      </c>
      <c r="I9" s="4" t="s">
        <v>3313</v>
      </c>
      <c r="J9">
        <v>1800</v>
      </c>
      <c r="L9" s="4" t="s">
        <v>3321</v>
      </c>
      <c r="M9">
        <v>332211.27999999985</v>
      </c>
      <c r="P9" s="4" t="s">
        <v>1655</v>
      </c>
      <c r="Q9">
        <v>2.9699570815450644</v>
      </c>
    </row>
    <row r="10" spans="1:17" x14ac:dyDescent="0.3">
      <c r="A10" s="4" t="s">
        <v>1658</v>
      </c>
      <c r="B10">
        <v>533090.99999999988</v>
      </c>
      <c r="L10" s="4" t="s">
        <v>3322</v>
      </c>
      <c r="M10">
        <v>222012.99000000002</v>
      </c>
      <c r="P10" s="4" t="s">
        <v>1658</v>
      </c>
      <c r="Q10">
        <v>3.1043165467625897</v>
      </c>
    </row>
    <row r="11" spans="1:17" x14ac:dyDescent="0.3">
      <c r="A11" s="4" t="s">
        <v>3313</v>
      </c>
      <c r="B11">
        <v>3266656.8</v>
      </c>
      <c r="L11" s="4" t="s">
        <v>3323</v>
      </c>
      <c r="M11">
        <v>246571.77000000008</v>
      </c>
      <c r="P11" s="4" t="s">
        <v>3313</v>
      </c>
      <c r="Q11">
        <v>2.9950000000000001</v>
      </c>
    </row>
    <row r="12" spans="1:17" x14ac:dyDescent="0.3">
      <c r="L12" s="4" t="s">
        <v>3324</v>
      </c>
      <c r="M12">
        <v>183940.81</v>
      </c>
    </row>
    <row r="13" spans="1:17" x14ac:dyDescent="0.3">
      <c r="L13" s="4" t="s">
        <v>3325</v>
      </c>
      <c r="M13">
        <v>192056.24999999994</v>
      </c>
    </row>
    <row r="14" spans="1:17" x14ac:dyDescent="0.3">
      <c r="L14" s="4" t="s">
        <v>3326</v>
      </c>
      <c r="M14">
        <v>246889.72000000009</v>
      </c>
    </row>
    <row r="15" spans="1:17" x14ac:dyDescent="0.3">
      <c r="L15" s="4" t="s">
        <v>3327</v>
      </c>
      <c r="M15">
        <v>245544.2600000001</v>
      </c>
    </row>
    <row r="16" spans="1:17" x14ac:dyDescent="0.3">
      <c r="L16" s="4" t="s">
        <v>3313</v>
      </c>
      <c r="M16">
        <v>3266656.8000000007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3E42-F0E9-4494-8901-12326050C8B9}">
  <dimension ref="A1"/>
  <sheetViews>
    <sheetView showGridLines="0" workbookViewId="0">
      <selection activeCell="G16" sqref="G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1"/>
  <sheetViews>
    <sheetView workbookViewId="0">
      <selection activeCell="O3" sqref="O3:Q14"/>
    </sheetView>
  </sheetViews>
  <sheetFormatPr defaultRowHeight="14.4" x14ac:dyDescent="0.3"/>
  <cols>
    <col min="1" max="1" width="12.77734375" customWidth="1"/>
    <col min="2" max="2" width="9.5546875" customWidth="1"/>
    <col min="3" max="3" width="15.44140625" customWidth="1"/>
    <col min="4" max="4" width="10.21875" customWidth="1"/>
    <col min="5" max="5" width="10.5546875" customWidth="1"/>
    <col min="6" max="6" width="16" customWidth="1"/>
    <col min="7" max="7" width="17.109375" customWidth="1"/>
    <col min="8" max="8" width="17.21875" customWidth="1"/>
    <col min="9" max="9" width="14.21875" customWidth="1"/>
    <col min="10" max="10" width="11.21875" customWidth="1"/>
    <col min="13" max="13" width="17.8867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3309</v>
      </c>
      <c r="L1" s="2" t="s">
        <v>3310</v>
      </c>
      <c r="M1" s="2" t="s">
        <v>3311</v>
      </c>
    </row>
    <row r="2" spans="1:15" x14ac:dyDescent="0.3">
      <c r="A2" t="s">
        <v>10</v>
      </c>
      <c r="B2" t="s">
        <v>1652</v>
      </c>
      <c r="C2" s="1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  <c r="K2" t="str">
        <f>TEXT(Table1[[#This Row],[PurchaseDate]],"mmm")</f>
        <v>Mar</v>
      </c>
      <c r="L2">
        <f>YEAR(Table1[[#This Row],[PurchaseDate]])</f>
        <v>2024</v>
      </c>
      <c r="M2" t="str">
        <f>IF(Table1[[#This Row],[TotalPrice]]&gt;2000,"High Sales","Low Sales")</f>
        <v>High Sales</v>
      </c>
    </row>
    <row r="3" spans="1:15" x14ac:dyDescent="0.3">
      <c r="A3" t="s">
        <v>11</v>
      </c>
      <c r="B3" t="s">
        <v>1653</v>
      </c>
      <c r="C3" s="1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  <c r="K3" t="str">
        <f>TEXT(Table1[[#This Row],[PurchaseDate]],"mmm")</f>
        <v>Jun</v>
      </c>
      <c r="L3">
        <f>YEAR(Table1[[#This Row],[PurchaseDate]])</f>
        <v>2025</v>
      </c>
      <c r="M3" t="str">
        <f>IF(Table1[[#This Row],[TotalPrice]]&gt;2000,"High Sales","Low Sales")</f>
        <v>High Sales</v>
      </c>
    </row>
    <row r="4" spans="1:15" x14ac:dyDescent="0.3">
      <c r="A4" t="s">
        <v>12</v>
      </c>
      <c r="B4" t="s">
        <v>1654</v>
      </c>
      <c r="C4" s="1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  <c r="K4" t="str">
        <f>TEXT(Table1[[#This Row],[PurchaseDate]],"mmm")</f>
        <v>Jun</v>
      </c>
      <c r="L4">
        <f>YEAR(Table1[[#This Row],[PurchaseDate]])</f>
        <v>2023</v>
      </c>
      <c r="M4" t="str">
        <f>IF(Table1[[#This Row],[TotalPrice]]&gt;2000,"High Sales","Low Sales")</f>
        <v>High Sales</v>
      </c>
      <c r="O4" t="s">
        <v>3329</v>
      </c>
    </row>
    <row r="5" spans="1:15" x14ac:dyDescent="0.3">
      <c r="A5" t="s">
        <v>13</v>
      </c>
      <c r="B5" t="s">
        <v>1655</v>
      </c>
      <c r="C5" s="1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  <c r="K5" t="str">
        <f>TEXT(Table1[[#This Row],[PurchaseDate]],"mmm")</f>
        <v>Sep</v>
      </c>
      <c r="L5">
        <f>YEAR(Table1[[#This Row],[PurchaseDate]])</f>
        <v>2023</v>
      </c>
      <c r="M5" t="str">
        <f>IF(Table1[[#This Row],[TotalPrice]]&gt;2000,"High Sales","Low Sales")</f>
        <v>Low Sales</v>
      </c>
      <c r="O5">
        <f>SUM(J2:J1801)</f>
        <v>3266656.7999999993</v>
      </c>
    </row>
    <row r="6" spans="1:15" x14ac:dyDescent="0.3">
      <c r="A6" t="s">
        <v>14</v>
      </c>
      <c r="B6" t="s">
        <v>1656</v>
      </c>
      <c r="C6" s="1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  <c r="K6" t="str">
        <f>TEXT(Table1[[#This Row],[PurchaseDate]],"mmm")</f>
        <v>Apr</v>
      </c>
      <c r="L6">
        <f>YEAR(Table1[[#This Row],[PurchaseDate]])</f>
        <v>2023</v>
      </c>
      <c r="M6" t="str">
        <f>IF(Table1[[#This Row],[TotalPrice]]&gt;2000,"High Sales","Low Sales")</f>
        <v>Low Sales</v>
      </c>
    </row>
    <row r="7" spans="1:15" x14ac:dyDescent="0.3">
      <c r="A7" t="s">
        <v>15</v>
      </c>
      <c r="B7" t="s">
        <v>1654</v>
      </c>
      <c r="C7" s="1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  <c r="K7" t="str">
        <f>TEXT(Table1[[#This Row],[PurchaseDate]],"mmm")</f>
        <v>Apr</v>
      </c>
      <c r="L7">
        <f>YEAR(Table1[[#This Row],[PurchaseDate]])</f>
        <v>2023</v>
      </c>
      <c r="M7" t="str">
        <f>IF(Table1[[#This Row],[TotalPrice]]&gt;2000,"High Sales","Low Sales")</f>
        <v>Low Sales</v>
      </c>
      <c r="O7" t="s">
        <v>3330</v>
      </c>
    </row>
    <row r="8" spans="1:15" x14ac:dyDescent="0.3">
      <c r="A8" t="s">
        <v>16</v>
      </c>
      <c r="B8" t="s">
        <v>1657</v>
      </c>
      <c r="C8" s="1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  <c r="K8" t="str">
        <f>TEXT(Table1[[#This Row],[PurchaseDate]],"mmm")</f>
        <v>Jun</v>
      </c>
      <c r="L8">
        <f>YEAR(Table1[[#This Row],[PurchaseDate]])</f>
        <v>2024</v>
      </c>
      <c r="M8" t="str">
        <f>IF(Table1[[#This Row],[TotalPrice]]&gt;2000,"High Sales","Low Sales")</f>
        <v>Low Sales</v>
      </c>
      <c r="O8">
        <f>COUNTA(A2:A1801)</f>
        <v>1800</v>
      </c>
    </row>
    <row r="9" spans="1:15" x14ac:dyDescent="0.3">
      <c r="A9" t="s">
        <v>17</v>
      </c>
      <c r="B9" t="s">
        <v>1654</v>
      </c>
      <c r="C9" s="1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  <c r="K9" t="str">
        <f>TEXT(Table1[[#This Row],[PurchaseDate]],"mmm")</f>
        <v>Aug</v>
      </c>
      <c r="L9">
        <f>YEAR(Table1[[#This Row],[PurchaseDate]])</f>
        <v>2023</v>
      </c>
      <c r="M9" t="str">
        <f>IF(Table1[[#This Row],[TotalPrice]]&gt;2000,"High Sales","Low Sales")</f>
        <v>High Sales</v>
      </c>
    </row>
    <row r="10" spans="1:15" x14ac:dyDescent="0.3">
      <c r="A10" t="s">
        <v>18</v>
      </c>
      <c r="B10" t="s">
        <v>1656</v>
      </c>
      <c r="C10" s="1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  <c r="K10" t="str">
        <f>TEXT(Table1[[#This Row],[PurchaseDate]],"mmm")</f>
        <v>Feb</v>
      </c>
      <c r="L10">
        <f>YEAR(Table1[[#This Row],[PurchaseDate]])</f>
        <v>2023</v>
      </c>
      <c r="M10" t="str">
        <f>IF(Table1[[#This Row],[TotalPrice]]&gt;2000,"High Sales","Low Sales")</f>
        <v>High Sales</v>
      </c>
      <c r="O10" t="s">
        <v>3331</v>
      </c>
    </row>
    <row r="11" spans="1:15" x14ac:dyDescent="0.3">
      <c r="A11" t="s">
        <v>19</v>
      </c>
      <c r="B11" t="s">
        <v>1658</v>
      </c>
      <c r="C11" s="1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  <c r="K11" t="str">
        <f>TEXT(Table1[[#This Row],[PurchaseDate]],"mmm")</f>
        <v>Jun</v>
      </c>
      <c r="L11">
        <f>YEAR(Table1[[#This Row],[PurchaseDate]])</f>
        <v>2025</v>
      </c>
      <c r="M11" t="str">
        <f>IF(Table1[[#This Row],[TotalPrice]]&gt;2000,"High Sales","Low Sales")</f>
        <v>Low Sales</v>
      </c>
      <c r="O11">
        <f>AVERAGE(I2:I1801)</f>
        <v>2.9950000000000001</v>
      </c>
    </row>
    <row r="12" spans="1:15" x14ac:dyDescent="0.3">
      <c r="A12" t="s">
        <v>20</v>
      </c>
      <c r="B12" t="s">
        <v>1657</v>
      </c>
      <c r="C12" s="1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  <c r="K12" t="str">
        <f>TEXT(Table1[[#This Row],[PurchaseDate]],"mmm")</f>
        <v>Sep</v>
      </c>
      <c r="L12">
        <f>YEAR(Table1[[#This Row],[PurchaseDate]])</f>
        <v>2023</v>
      </c>
      <c r="M12" t="str">
        <f>IF(Table1[[#This Row],[TotalPrice]]&gt;2000,"High Sales","Low Sales")</f>
        <v>Low Sales</v>
      </c>
      <c r="O12" t="s">
        <v>3332</v>
      </c>
    </row>
    <row r="13" spans="1:15" x14ac:dyDescent="0.3">
      <c r="A13" t="s">
        <v>21</v>
      </c>
      <c r="B13" t="s">
        <v>1657</v>
      </c>
      <c r="C13" s="1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  <c r="K13" t="str">
        <f>TEXT(Table1[[#This Row],[PurchaseDate]],"mmm")</f>
        <v>Apr</v>
      </c>
      <c r="L13">
        <f>YEAR(Table1[[#This Row],[PurchaseDate]])</f>
        <v>2025</v>
      </c>
      <c r="M13" t="str">
        <f>IF(Table1[[#This Row],[TotalPrice]]&gt;2000,"High Sales","Low Sales")</f>
        <v>High Sales</v>
      </c>
      <c r="O13">
        <f>SUM(D2:D1801)</f>
        <v>8260</v>
      </c>
    </row>
    <row r="14" spans="1:15" x14ac:dyDescent="0.3">
      <c r="A14" t="s">
        <v>22</v>
      </c>
      <c r="B14" t="s">
        <v>1653</v>
      </c>
      <c r="C14" s="1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  <c r="K14" t="str">
        <f>TEXT(Table1[[#This Row],[PurchaseDate]],"mmm")</f>
        <v>Sep</v>
      </c>
      <c r="L14">
        <f>YEAR(Table1[[#This Row],[PurchaseDate]])</f>
        <v>2024</v>
      </c>
      <c r="M14" t="str">
        <f>IF(Table1[[#This Row],[TotalPrice]]&gt;2000,"High Sales","Low Sales")</f>
        <v>Low Sales</v>
      </c>
    </row>
    <row r="15" spans="1:15" x14ac:dyDescent="0.3">
      <c r="A15" t="s">
        <v>23</v>
      </c>
      <c r="B15" t="s">
        <v>1652</v>
      </c>
      <c r="C15" s="1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  <c r="K15" t="str">
        <f>TEXT(Table1[[#This Row],[PurchaseDate]],"mmm")</f>
        <v>Jan</v>
      </c>
      <c r="L15">
        <f>YEAR(Table1[[#This Row],[PurchaseDate]])</f>
        <v>2025</v>
      </c>
      <c r="M15" t="str">
        <f>IF(Table1[[#This Row],[TotalPrice]]&gt;2000,"High Sales","Low Sales")</f>
        <v>Low Sales</v>
      </c>
    </row>
    <row r="16" spans="1:15" x14ac:dyDescent="0.3">
      <c r="A16" t="s">
        <v>24</v>
      </c>
      <c r="B16" t="s">
        <v>1652</v>
      </c>
      <c r="C16" s="1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  <c r="K16" t="str">
        <f>TEXT(Table1[[#This Row],[PurchaseDate]],"mmm")</f>
        <v>Nov</v>
      </c>
      <c r="L16">
        <f>YEAR(Table1[[#This Row],[PurchaseDate]])</f>
        <v>2023</v>
      </c>
      <c r="M16" t="str">
        <f>IF(Table1[[#This Row],[TotalPrice]]&gt;2000,"High Sales","Low Sales")</f>
        <v>High Sales</v>
      </c>
    </row>
    <row r="17" spans="1:13" x14ac:dyDescent="0.3">
      <c r="A17" t="s">
        <v>25</v>
      </c>
      <c r="B17" t="s">
        <v>1653</v>
      </c>
      <c r="C17" s="1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  <c r="K17" t="str">
        <f>TEXT(Table1[[#This Row],[PurchaseDate]],"mmm")</f>
        <v>Nov</v>
      </c>
      <c r="L17">
        <f>YEAR(Table1[[#This Row],[PurchaseDate]])</f>
        <v>2024</v>
      </c>
      <c r="M17" t="str">
        <f>IF(Table1[[#This Row],[TotalPrice]]&gt;2000,"High Sales","Low Sales")</f>
        <v>High Sales</v>
      </c>
    </row>
    <row r="18" spans="1:13" x14ac:dyDescent="0.3">
      <c r="A18" t="s">
        <v>26</v>
      </c>
      <c r="B18" t="s">
        <v>1652</v>
      </c>
      <c r="C18" s="1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  <c r="K18" t="str">
        <f>TEXT(Table1[[#This Row],[PurchaseDate]],"mmm")</f>
        <v>Sep</v>
      </c>
      <c r="L18">
        <f>YEAR(Table1[[#This Row],[PurchaseDate]])</f>
        <v>2023</v>
      </c>
      <c r="M18" t="str">
        <f>IF(Table1[[#This Row],[TotalPrice]]&gt;2000,"High Sales","Low Sales")</f>
        <v>High Sales</v>
      </c>
    </row>
    <row r="19" spans="1:13" x14ac:dyDescent="0.3">
      <c r="A19" t="s">
        <v>27</v>
      </c>
      <c r="B19" t="s">
        <v>1656</v>
      </c>
      <c r="C19" s="1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  <c r="K19" t="str">
        <f>TEXT(Table1[[#This Row],[PurchaseDate]],"mmm")</f>
        <v>Dec</v>
      </c>
      <c r="L19">
        <f>YEAR(Table1[[#This Row],[PurchaseDate]])</f>
        <v>2024</v>
      </c>
      <c r="M19" t="str">
        <f>IF(Table1[[#This Row],[TotalPrice]]&gt;2000,"High Sales","Low Sales")</f>
        <v>High Sales</v>
      </c>
    </row>
    <row r="20" spans="1:13" x14ac:dyDescent="0.3">
      <c r="A20" t="s">
        <v>28</v>
      </c>
      <c r="B20" t="s">
        <v>1658</v>
      </c>
      <c r="C20" s="1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  <c r="K20" t="str">
        <f>TEXT(Table1[[#This Row],[PurchaseDate]],"mmm")</f>
        <v>Oct</v>
      </c>
      <c r="L20">
        <f>YEAR(Table1[[#This Row],[PurchaseDate]])</f>
        <v>2024</v>
      </c>
      <c r="M20" t="str">
        <f>IF(Table1[[#This Row],[TotalPrice]]&gt;2000,"High Sales","Low Sales")</f>
        <v>Low Sales</v>
      </c>
    </row>
    <row r="21" spans="1:13" x14ac:dyDescent="0.3">
      <c r="A21" t="s">
        <v>29</v>
      </c>
      <c r="B21" t="s">
        <v>1656</v>
      </c>
      <c r="C21" s="1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  <c r="K21" t="str">
        <f>TEXT(Table1[[#This Row],[PurchaseDate]],"mmm")</f>
        <v>Sep</v>
      </c>
      <c r="L21">
        <f>YEAR(Table1[[#This Row],[PurchaseDate]])</f>
        <v>2023</v>
      </c>
      <c r="M21" t="str">
        <f>IF(Table1[[#This Row],[TotalPrice]]&gt;2000,"High Sales","Low Sales")</f>
        <v>Low Sales</v>
      </c>
    </row>
    <row r="22" spans="1:13" x14ac:dyDescent="0.3">
      <c r="A22" t="s">
        <v>30</v>
      </c>
      <c r="B22" t="s">
        <v>1654</v>
      </c>
      <c r="C22" s="1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  <c r="K22" t="str">
        <f>TEXT(Table1[[#This Row],[PurchaseDate]],"mmm")</f>
        <v>Jun</v>
      </c>
      <c r="L22">
        <f>YEAR(Table1[[#This Row],[PurchaseDate]])</f>
        <v>2024</v>
      </c>
      <c r="M22" t="str">
        <f>IF(Table1[[#This Row],[TotalPrice]]&gt;2000,"High Sales","Low Sales")</f>
        <v>Low Sales</v>
      </c>
    </row>
    <row r="23" spans="1:13" x14ac:dyDescent="0.3">
      <c r="A23" t="s">
        <v>31</v>
      </c>
      <c r="B23" t="s">
        <v>1657</v>
      </c>
      <c r="C23" s="1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  <c r="K23" t="str">
        <f>TEXT(Table1[[#This Row],[PurchaseDate]],"mmm")</f>
        <v>Oct</v>
      </c>
      <c r="L23">
        <f>YEAR(Table1[[#This Row],[PurchaseDate]])</f>
        <v>2024</v>
      </c>
      <c r="M23" t="str">
        <f>IF(Table1[[#This Row],[TotalPrice]]&gt;2000,"High Sales","Low Sales")</f>
        <v>Low Sales</v>
      </c>
    </row>
    <row r="24" spans="1:13" x14ac:dyDescent="0.3">
      <c r="A24" t="s">
        <v>32</v>
      </c>
      <c r="B24" t="s">
        <v>1654</v>
      </c>
      <c r="C24" s="1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  <c r="K24" t="str">
        <f>TEXT(Table1[[#This Row],[PurchaseDate]],"mmm")</f>
        <v>Jan</v>
      </c>
      <c r="L24">
        <f>YEAR(Table1[[#This Row],[PurchaseDate]])</f>
        <v>2024</v>
      </c>
      <c r="M24" t="str">
        <f>IF(Table1[[#This Row],[TotalPrice]]&gt;2000,"High Sales","Low Sales")</f>
        <v>Low Sales</v>
      </c>
    </row>
    <row r="25" spans="1:13" x14ac:dyDescent="0.3">
      <c r="A25" t="s">
        <v>33</v>
      </c>
      <c r="B25" t="s">
        <v>1653</v>
      </c>
      <c r="C25" s="1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  <c r="K25" t="str">
        <f>TEXT(Table1[[#This Row],[PurchaseDate]],"mmm")</f>
        <v>Jun</v>
      </c>
      <c r="L25">
        <f>YEAR(Table1[[#This Row],[PurchaseDate]])</f>
        <v>2024</v>
      </c>
      <c r="M25" t="str">
        <f>IF(Table1[[#This Row],[TotalPrice]]&gt;2000,"High Sales","Low Sales")</f>
        <v>Low Sales</v>
      </c>
    </row>
    <row r="26" spans="1:13" x14ac:dyDescent="0.3">
      <c r="A26" t="s">
        <v>34</v>
      </c>
      <c r="B26" t="s">
        <v>1655</v>
      </c>
      <c r="C26" s="1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  <c r="K26" t="str">
        <f>TEXT(Table1[[#This Row],[PurchaseDate]],"mmm")</f>
        <v>Aug</v>
      </c>
      <c r="L26">
        <f>YEAR(Table1[[#This Row],[PurchaseDate]])</f>
        <v>2024</v>
      </c>
      <c r="M26" t="str">
        <f>IF(Table1[[#This Row],[TotalPrice]]&gt;2000,"High Sales","Low Sales")</f>
        <v>Low Sales</v>
      </c>
    </row>
    <row r="27" spans="1:13" x14ac:dyDescent="0.3">
      <c r="A27" t="s">
        <v>35</v>
      </c>
      <c r="B27" t="s">
        <v>1653</v>
      </c>
      <c r="C27" s="1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  <c r="K27" t="str">
        <f>TEXT(Table1[[#This Row],[PurchaseDate]],"mmm")</f>
        <v>Aug</v>
      </c>
      <c r="L27">
        <f>YEAR(Table1[[#This Row],[PurchaseDate]])</f>
        <v>2024</v>
      </c>
      <c r="M27" t="str">
        <f>IF(Table1[[#This Row],[TotalPrice]]&gt;2000,"High Sales","Low Sales")</f>
        <v>High Sales</v>
      </c>
    </row>
    <row r="28" spans="1:13" x14ac:dyDescent="0.3">
      <c r="A28" t="s">
        <v>36</v>
      </c>
      <c r="B28" t="s">
        <v>1658</v>
      </c>
      <c r="C28" s="1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  <c r="K28" t="str">
        <f>TEXT(Table1[[#This Row],[PurchaseDate]],"mmm")</f>
        <v>Dec</v>
      </c>
      <c r="L28">
        <f>YEAR(Table1[[#This Row],[PurchaseDate]])</f>
        <v>2023</v>
      </c>
      <c r="M28" t="str">
        <f>IF(Table1[[#This Row],[TotalPrice]]&gt;2000,"High Sales","Low Sales")</f>
        <v>Low Sales</v>
      </c>
    </row>
    <row r="29" spans="1:13" x14ac:dyDescent="0.3">
      <c r="A29" t="s">
        <v>37</v>
      </c>
      <c r="B29" t="s">
        <v>1653</v>
      </c>
      <c r="C29" s="1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  <c r="K29" t="str">
        <f>TEXT(Table1[[#This Row],[PurchaseDate]],"mmm")</f>
        <v>Feb</v>
      </c>
      <c r="L29">
        <f>YEAR(Table1[[#This Row],[PurchaseDate]])</f>
        <v>2025</v>
      </c>
      <c r="M29" t="str">
        <f>IF(Table1[[#This Row],[TotalPrice]]&gt;2000,"High Sales","Low Sales")</f>
        <v>Low Sales</v>
      </c>
    </row>
    <row r="30" spans="1:13" x14ac:dyDescent="0.3">
      <c r="A30" t="s">
        <v>38</v>
      </c>
      <c r="B30" t="s">
        <v>1652</v>
      </c>
      <c r="C30" s="1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  <c r="K30" t="str">
        <f>TEXT(Table1[[#This Row],[PurchaseDate]],"mmm")</f>
        <v>Oct</v>
      </c>
      <c r="L30">
        <f>YEAR(Table1[[#This Row],[PurchaseDate]])</f>
        <v>2024</v>
      </c>
      <c r="M30" t="str">
        <f>IF(Table1[[#This Row],[TotalPrice]]&gt;2000,"High Sales","Low Sales")</f>
        <v>High Sales</v>
      </c>
    </row>
    <row r="31" spans="1:13" x14ac:dyDescent="0.3">
      <c r="A31" t="s">
        <v>39</v>
      </c>
      <c r="B31" t="s">
        <v>1656</v>
      </c>
      <c r="C31" s="1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  <c r="K31" t="str">
        <f>TEXT(Table1[[#This Row],[PurchaseDate]],"mmm")</f>
        <v>Sep</v>
      </c>
      <c r="L31">
        <f>YEAR(Table1[[#This Row],[PurchaseDate]])</f>
        <v>2024</v>
      </c>
      <c r="M31" t="str">
        <f>IF(Table1[[#This Row],[TotalPrice]]&gt;2000,"High Sales","Low Sales")</f>
        <v>Low Sales</v>
      </c>
    </row>
    <row r="32" spans="1:13" x14ac:dyDescent="0.3">
      <c r="A32" t="s">
        <v>40</v>
      </c>
      <c r="B32" t="s">
        <v>1652</v>
      </c>
      <c r="C32" s="1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  <c r="K32" t="str">
        <f>TEXT(Table1[[#This Row],[PurchaseDate]],"mmm")</f>
        <v>May</v>
      </c>
      <c r="L32">
        <f>YEAR(Table1[[#This Row],[PurchaseDate]])</f>
        <v>2023</v>
      </c>
      <c r="M32" t="str">
        <f>IF(Table1[[#This Row],[TotalPrice]]&gt;2000,"High Sales","Low Sales")</f>
        <v>Low Sales</v>
      </c>
    </row>
    <row r="33" spans="1:13" x14ac:dyDescent="0.3">
      <c r="A33" t="s">
        <v>41</v>
      </c>
      <c r="B33" t="s">
        <v>1652</v>
      </c>
      <c r="C33" s="1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  <c r="K33" t="str">
        <f>TEXT(Table1[[#This Row],[PurchaseDate]],"mmm")</f>
        <v>Jan</v>
      </c>
      <c r="L33">
        <f>YEAR(Table1[[#This Row],[PurchaseDate]])</f>
        <v>2025</v>
      </c>
      <c r="M33" t="str">
        <f>IF(Table1[[#This Row],[TotalPrice]]&gt;2000,"High Sales","Low Sales")</f>
        <v>Low Sales</v>
      </c>
    </row>
    <row r="34" spans="1:13" x14ac:dyDescent="0.3">
      <c r="A34" t="s">
        <v>42</v>
      </c>
      <c r="B34" t="s">
        <v>1654</v>
      </c>
      <c r="C34" s="1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  <c r="K34" t="str">
        <f>TEXT(Table1[[#This Row],[PurchaseDate]],"mmm")</f>
        <v>Jul</v>
      </c>
      <c r="L34">
        <f>YEAR(Table1[[#This Row],[PurchaseDate]])</f>
        <v>2023</v>
      </c>
      <c r="M34" t="str">
        <f>IF(Table1[[#This Row],[TotalPrice]]&gt;2000,"High Sales","Low Sales")</f>
        <v>Low Sales</v>
      </c>
    </row>
    <row r="35" spans="1:13" x14ac:dyDescent="0.3">
      <c r="A35" t="s">
        <v>43</v>
      </c>
      <c r="B35" t="s">
        <v>1653</v>
      </c>
      <c r="C35" s="1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  <c r="K35" t="str">
        <f>TEXT(Table1[[#This Row],[PurchaseDate]],"mmm")</f>
        <v>Mar</v>
      </c>
      <c r="L35">
        <f>YEAR(Table1[[#This Row],[PurchaseDate]])</f>
        <v>2023</v>
      </c>
      <c r="M35" t="str">
        <f>IF(Table1[[#This Row],[TotalPrice]]&gt;2000,"High Sales","Low Sales")</f>
        <v>Low Sales</v>
      </c>
    </row>
    <row r="36" spans="1:13" x14ac:dyDescent="0.3">
      <c r="A36" t="s">
        <v>44</v>
      </c>
      <c r="B36" t="s">
        <v>1656</v>
      </c>
      <c r="C36" s="1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  <c r="K36" t="str">
        <f>TEXT(Table1[[#This Row],[PurchaseDate]],"mmm")</f>
        <v>Oct</v>
      </c>
      <c r="L36">
        <f>YEAR(Table1[[#This Row],[PurchaseDate]])</f>
        <v>2023</v>
      </c>
      <c r="M36" t="str">
        <f>IF(Table1[[#This Row],[TotalPrice]]&gt;2000,"High Sales","Low Sales")</f>
        <v>Low Sales</v>
      </c>
    </row>
    <row r="37" spans="1:13" x14ac:dyDescent="0.3">
      <c r="A37" t="s">
        <v>45</v>
      </c>
      <c r="B37" t="s">
        <v>1655</v>
      </c>
      <c r="C37" s="1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  <c r="K37" t="str">
        <f>TEXT(Table1[[#This Row],[PurchaseDate]],"mmm")</f>
        <v>Mar</v>
      </c>
      <c r="L37">
        <f>YEAR(Table1[[#This Row],[PurchaseDate]])</f>
        <v>2024</v>
      </c>
      <c r="M37" t="str">
        <f>IF(Table1[[#This Row],[TotalPrice]]&gt;2000,"High Sales","Low Sales")</f>
        <v>Low Sales</v>
      </c>
    </row>
    <row r="38" spans="1:13" x14ac:dyDescent="0.3">
      <c r="A38" t="s">
        <v>46</v>
      </c>
      <c r="B38" t="s">
        <v>1653</v>
      </c>
      <c r="C38" s="1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  <c r="K38" t="str">
        <f>TEXT(Table1[[#This Row],[PurchaseDate]],"mmm")</f>
        <v>Mar</v>
      </c>
      <c r="L38">
        <f>YEAR(Table1[[#This Row],[PurchaseDate]])</f>
        <v>2023</v>
      </c>
      <c r="M38" t="str">
        <f>IF(Table1[[#This Row],[TotalPrice]]&gt;2000,"High Sales","Low Sales")</f>
        <v>Low Sales</v>
      </c>
    </row>
    <row r="39" spans="1:13" x14ac:dyDescent="0.3">
      <c r="A39" t="s">
        <v>47</v>
      </c>
      <c r="B39" t="s">
        <v>1653</v>
      </c>
      <c r="C39" s="1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  <c r="K39" t="str">
        <f>TEXT(Table1[[#This Row],[PurchaseDate]],"mmm")</f>
        <v>Feb</v>
      </c>
      <c r="L39">
        <f>YEAR(Table1[[#This Row],[PurchaseDate]])</f>
        <v>2025</v>
      </c>
      <c r="M39" t="str">
        <f>IF(Table1[[#This Row],[TotalPrice]]&gt;2000,"High Sales","Low Sales")</f>
        <v>Low Sales</v>
      </c>
    </row>
    <row r="40" spans="1:13" x14ac:dyDescent="0.3">
      <c r="A40" t="s">
        <v>48</v>
      </c>
      <c r="B40" t="s">
        <v>1653</v>
      </c>
      <c r="C40" s="1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  <c r="K40" t="str">
        <f>TEXT(Table1[[#This Row],[PurchaseDate]],"mmm")</f>
        <v>Jan</v>
      </c>
      <c r="L40">
        <f>YEAR(Table1[[#This Row],[PurchaseDate]])</f>
        <v>2023</v>
      </c>
      <c r="M40" t="str">
        <f>IF(Table1[[#This Row],[TotalPrice]]&gt;2000,"High Sales","Low Sales")</f>
        <v>High Sales</v>
      </c>
    </row>
    <row r="41" spans="1:13" x14ac:dyDescent="0.3">
      <c r="A41" t="s">
        <v>49</v>
      </c>
      <c r="B41" t="s">
        <v>1656</v>
      </c>
      <c r="C41" s="1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  <c r="K41" t="str">
        <f>TEXT(Table1[[#This Row],[PurchaseDate]],"mmm")</f>
        <v>Feb</v>
      </c>
      <c r="L41">
        <f>YEAR(Table1[[#This Row],[PurchaseDate]])</f>
        <v>2024</v>
      </c>
      <c r="M41" t="str">
        <f>IF(Table1[[#This Row],[TotalPrice]]&gt;2000,"High Sales","Low Sales")</f>
        <v>Low Sales</v>
      </c>
    </row>
    <row r="42" spans="1:13" x14ac:dyDescent="0.3">
      <c r="A42" t="s">
        <v>50</v>
      </c>
      <c r="B42" t="s">
        <v>1653</v>
      </c>
      <c r="C42" s="1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  <c r="K42" t="str">
        <f>TEXT(Table1[[#This Row],[PurchaseDate]],"mmm")</f>
        <v>Aug</v>
      </c>
      <c r="L42">
        <f>YEAR(Table1[[#This Row],[PurchaseDate]])</f>
        <v>2024</v>
      </c>
      <c r="M42" t="str">
        <f>IF(Table1[[#This Row],[TotalPrice]]&gt;2000,"High Sales","Low Sales")</f>
        <v>Low Sales</v>
      </c>
    </row>
    <row r="43" spans="1:13" x14ac:dyDescent="0.3">
      <c r="A43" t="s">
        <v>51</v>
      </c>
      <c r="B43" t="s">
        <v>1658</v>
      </c>
      <c r="C43" s="1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  <c r="K43" t="str">
        <f>TEXT(Table1[[#This Row],[PurchaseDate]],"mmm")</f>
        <v>Dec</v>
      </c>
      <c r="L43">
        <f>YEAR(Table1[[#This Row],[PurchaseDate]])</f>
        <v>2024</v>
      </c>
      <c r="M43" t="str">
        <f>IF(Table1[[#This Row],[TotalPrice]]&gt;2000,"High Sales","Low Sales")</f>
        <v>Low Sales</v>
      </c>
    </row>
    <row r="44" spans="1:13" x14ac:dyDescent="0.3">
      <c r="A44" t="s">
        <v>52</v>
      </c>
      <c r="B44" t="s">
        <v>1653</v>
      </c>
      <c r="C44" s="1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  <c r="K44" t="str">
        <f>TEXT(Table1[[#This Row],[PurchaseDate]],"mmm")</f>
        <v>Mar</v>
      </c>
      <c r="L44">
        <f>YEAR(Table1[[#This Row],[PurchaseDate]])</f>
        <v>2023</v>
      </c>
      <c r="M44" t="str">
        <f>IF(Table1[[#This Row],[TotalPrice]]&gt;2000,"High Sales","Low Sales")</f>
        <v>High Sales</v>
      </c>
    </row>
    <row r="45" spans="1:13" x14ac:dyDescent="0.3">
      <c r="A45" t="s">
        <v>53</v>
      </c>
      <c r="B45" t="s">
        <v>1658</v>
      </c>
      <c r="C45" s="1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  <c r="K45" t="str">
        <f>TEXT(Table1[[#This Row],[PurchaseDate]],"mmm")</f>
        <v>Nov</v>
      </c>
      <c r="L45">
        <f>YEAR(Table1[[#This Row],[PurchaseDate]])</f>
        <v>2024</v>
      </c>
      <c r="M45" t="str">
        <f>IF(Table1[[#This Row],[TotalPrice]]&gt;2000,"High Sales","Low Sales")</f>
        <v>High Sales</v>
      </c>
    </row>
    <row r="46" spans="1:13" x14ac:dyDescent="0.3">
      <c r="A46" t="s">
        <v>54</v>
      </c>
      <c r="B46" t="s">
        <v>1653</v>
      </c>
      <c r="C46" s="1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  <c r="K46" t="str">
        <f>TEXT(Table1[[#This Row],[PurchaseDate]],"mmm")</f>
        <v>Apr</v>
      </c>
      <c r="L46">
        <f>YEAR(Table1[[#This Row],[PurchaseDate]])</f>
        <v>2024</v>
      </c>
      <c r="M46" t="str">
        <f>IF(Table1[[#This Row],[TotalPrice]]&gt;2000,"High Sales","Low Sales")</f>
        <v>Low Sales</v>
      </c>
    </row>
    <row r="47" spans="1:13" x14ac:dyDescent="0.3">
      <c r="A47" t="s">
        <v>55</v>
      </c>
      <c r="B47" t="s">
        <v>1658</v>
      </c>
      <c r="C47" s="1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  <c r="K47" t="str">
        <f>TEXT(Table1[[#This Row],[PurchaseDate]],"mmm")</f>
        <v>Mar</v>
      </c>
      <c r="L47">
        <f>YEAR(Table1[[#This Row],[PurchaseDate]])</f>
        <v>2023</v>
      </c>
      <c r="M47" t="str">
        <f>IF(Table1[[#This Row],[TotalPrice]]&gt;2000,"High Sales","Low Sales")</f>
        <v>Low Sales</v>
      </c>
    </row>
    <row r="48" spans="1:13" x14ac:dyDescent="0.3">
      <c r="A48" t="s">
        <v>56</v>
      </c>
      <c r="B48" t="s">
        <v>1656</v>
      </c>
      <c r="C48" s="1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  <c r="K48" t="str">
        <f>TEXT(Table1[[#This Row],[PurchaseDate]],"mmm")</f>
        <v>Aug</v>
      </c>
      <c r="L48">
        <f>YEAR(Table1[[#This Row],[PurchaseDate]])</f>
        <v>2024</v>
      </c>
      <c r="M48" t="str">
        <f>IF(Table1[[#This Row],[TotalPrice]]&gt;2000,"High Sales","Low Sales")</f>
        <v>Low Sales</v>
      </c>
    </row>
    <row r="49" spans="1:13" x14ac:dyDescent="0.3">
      <c r="A49" t="s">
        <v>57</v>
      </c>
      <c r="B49" t="s">
        <v>1657</v>
      </c>
      <c r="C49" s="1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  <c r="K49" t="str">
        <f>TEXT(Table1[[#This Row],[PurchaseDate]],"mmm")</f>
        <v>Apr</v>
      </c>
      <c r="L49">
        <f>YEAR(Table1[[#This Row],[PurchaseDate]])</f>
        <v>2025</v>
      </c>
      <c r="M49" t="str">
        <f>IF(Table1[[#This Row],[TotalPrice]]&gt;2000,"High Sales","Low Sales")</f>
        <v>Low Sales</v>
      </c>
    </row>
    <row r="50" spans="1:13" x14ac:dyDescent="0.3">
      <c r="A50" t="s">
        <v>58</v>
      </c>
      <c r="B50" t="s">
        <v>1657</v>
      </c>
      <c r="C50" s="1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  <c r="K50" t="str">
        <f>TEXT(Table1[[#This Row],[PurchaseDate]],"mmm")</f>
        <v>Jun</v>
      </c>
      <c r="L50">
        <f>YEAR(Table1[[#This Row],[PurchaseDate]])</f>
        <v>2025</v>
      </c>
      <c r="M50" t="str">
        <f>IF(Table1[[#This Row],[TotalPrice]]&gt;2000,"High Sales","Low Sales")</f>
        <v>Low Sales</v>
      </c>
    </row>
    <row r="51" spans="1:13" x14ac:dyDescent="0.3">
      <c r="A51" t="s">
        <v>59</v>
      </c>
      <c r="B51" t="s">
        <v>1653</v>
      </c>
      <c r="C51" s="1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  <c r="K51" t="str">
        <f>TEXT(Table1[[#This Row],[PurchaseDate]],"mmm")</f>
        <v>Mar</v>
      </c>
      <c r="L51">
        <f>YEAR(Table1[[#This Row],[PurchaseDate]])</f>
        <v>2023</v>
      </c>
      <c r="M51" t="str">
        <f>IF(Table1[[#This Row],[TotalPrice]]&gt;2000,"High Sales","Low Sales")</f>
        <v>Low Sales</v>
      </c>
    </row>
    <row r="52" spans="1:13" x14ac:dyDescent="0.3">
      <c r="A52" t="s">
        <v>60</v>
      </c>
      <c r="B52" t="s">
        <v>1657</v>
      </c>
      <c r="C52" s="1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  <c r="K52" t="str">
        <f>TEXT(Table1[[#This Row],[PurchaseDate]],"mmm")</f>
        <v>Dec</v>
      </c>
      <c r="L52">
        <f>YEAR(Table1[[#This Row],[PurchaseDate]])</f>
        <v>2023</v>
      </c>
      <c r="M52" t="str">
        <f>IF(Table1[[#This Row],[TotalPrice]]&gt;2000,"High Sales","Low Sales")</f>
        <v>High Sales</v>
      </c>
    </row>
    <row r="53" spans="1:13" x14ac:dyDescent="0.3">
      <c r="A53" t="s">
        <v>61</v>
      </c>
      <c r="B53" t="s">
        <v>1655</v>
      </c>
      <c r="C53" s="1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  <c r="K53" t="str">
        <f>TEXT(Table1[[#This Row],[PurchaseDate]],"mmm")</f>
        <v>Feb</v>
      </c>
      <c r="L53">
        <f>YEAR(Table1[[#This Row],[PurchaseDate]])</f>
        <v>2023</v>
      </c>
      <c r="M53" t="str">
        <f>IF(Table1[[#This Row],[TotalPrice]]&gt;2000,"High Sales","Low Sales")</f>
        <v>Low Sales</v>
      </c>
    </row>
    <row r="54" spans="1:13" x14ac:dyDescent="0.3">
      <c r="A54" t="s">
        <v>62</v>
      </c>
      <c r="B54" t="s">
        <v>1657</v>
      </c>
      <c r="C54" s="1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  <c r="K54" t="str">
        <f>TEXT(Table1[[#This Row],[PurchaseDate]],"mmm")</f>
        <v>Mar</v>
      </c>
      <c r="L54">
        <f>YEAR(Table1[[#This Row],[PurchaseDate]])</f>
        <v>2025</v>
      </c>
      <c r="M54" t="str">
        <f>IF(Table1[[#This Row],[TotalPrice]]&gt;2000,"High Sales","Low Sales")</f>
        <v>Low Sales</v>
      </c>
    </row>
    <row r="55" spans="1:13" x14ac:dyDescent="0.3">
      <c r="A55" t="s">
        <v>63</v>
      </c>
      <c r="B55" t="s">
        <v>1657</v>
      </c>
      <c r="C55" s="1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  <c r="K55" t="str">
        <f>TEXT(Table1[[#This Row],[PurchaseDate]],"mmm")</f>
        <v>Sep</v>
      </c>
      <c r="L55">
        <f>YEAR(Table1[[#This Row],[PurchaseDate]])</f>
        <v>2023</v>
      </c>
      <c r="M55" t="str">
        <f>IF(Table1[[#This Row],[TotalPrice]]&gt;2000,"High Sales","Low Sales")</f>
        <v>High Sales</v>
      </c>
    </row>
    <row r="56" spans="1:13" x14ac:dyDescent="0.3">
      <c r="A56" t="s">
        <v>64</v>
      </c>
      <c r="B56" t="s">
        <v>1658</v>
      </c>
      <c r="C56" s="1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  <c r="K56" t="str">
        <f>TEXT(Table1[[#This Row],[PurchaseDate]],"mmm")</f>
        <v>Apr</v>
      </c>
      <c r="L56">
        <f>YEAR(Table1[[#This Row],[PurchaseDate]])</f>
        <v>2024</v>
      </c>
      <c r="M56" t="str">
        <f>IF(Table1[[#This Row],[TotalPrice]]&gt;2000,"High Sales","Low Sales")</f>
        <v>Low Sales</v>
      </c>
    </row>
    <row r="57" spans="1:13" x14ac:dyDescent="0.3">
      <c r="A57" t="s">
        <v>65</v>
      </c>
      <c r="B57" t="s">
        <v>1655</v>
      </c>
      <c r="C57" s="1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  <c r="K57" t="str">
        <f>TEXT(Table1[[#This Row],[PurchaseDate]],"mmm")</f>
        <v>Jun</v>
      </c>
      <c r="L57">
        <f>YEAR(Table1[[#This Row],[PurchaseDate]])</f>
        <v>2023</v>
      </c>
      <c r="M57" t="str">
        <f>IF(Table1[[#This Row],[TotalPrice]]&gt;2000,"High Sales","Low Sales")</f>
        <v>High Sales</v>
      </c>
    </row>
    <row r="58" spans="1:13" x14ac:dyDescent="0.3">
      <c r="A58" t="s">
        <v>66</v>
      </c>
      <c r="B58" t="s">
        <v>1655</v>
      </c>
      <c r="C58" s="1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  <c r="K58" t="str">
        <f>TEXT(Table1[[#This Row],[PurchaseDate]],"mmm")</f>
        <v>Jul</v>
      </c>
      <c r="L58">
        <f>YEAR(Table1[[#This Row],[PurchaseDate]])</f>
        <v>2024</v>
      </c>
      <c r="M58" t="str">
        <f>IF(Table1[[#This Row],[TotalPrice]]&gt;2000,"High Sales","Low Sales")</f>
        <v>Low Sales</v>
      </c>
    </row>
    <row r="59" spans="1:13" x14ac:dyDescent="0.3">
      <c r="A59" t="s">
        <v>67</v>
      </c>
      <c r="B59" t="s">
        <v>1655</v>
      </c>
      <c r="C59" s="1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  <c r="K59" t="str">
        <f>TEXT(Table1[[#This Row],[PurchaseDate]],"mmm")</f>
        <v>May</v>
      </c>
      <c r="L59">
        <f>YEAR(Table1[[#This Row],[PurchaseDate]])</f>
        <v>2023</v>
      </c>
      <c r="M59" t="str">
        <f>IF(Table1[[#This Row],[TotalPrice]]&gt;2000,"High Sales","Low Sales")</f>
        <v>High Sales</v>
      </c>
    </row>
    <row r="60" spans="1:13" x14ac:dyDescent="0.3">
      <c r="A60" t="s">
        <v>68</v>
      </c>
      <c r="B60" t="s">
        <v>1655</v>
      </c>
      <c r="C60" s="1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  <c r="K60" t="str">
        <f>TEXT(Table1[[#This Row],[PurchaseDate]],"mmm")</f>
        <v>Feb</v>
      </c>
      <c r="L60">
        <f>YEAR(Table1[[#This Row],[PurchaseDate]])</f>
        <v>2023</v>
      </c>
      <c r="M60" t="str">
        <f>IF(Table1[[#This Row],[TotalPrice]]&gt;2000,"High Sales","Low Sales")</f>
        <v>High Sales</v>
      </c>
    </row>
    <row r="61" spans="1:13" x14ac:dyDescent="0.3">
      <c r="A61" t="s">
        <v>69</v>
      </c>
      <c r="B61" t="s">
        <v>1655</v>
      </c>
      <c r="C61" s="1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  <c r="K61" t="str">
        <f>TEXT(Table1[[#This Row],[PurchaseDate]],"mmm")</f>
        <v>Sep</v>
      </c>
      <c r="L61">
        <f>YEAR(Table1[[#This Row],[PurchaseDate]])</f>
        <v>2024</v>
      </c>
      <c r="M61" t="str">
        <f>IF(Table1[[#This Row],[TotalPrice]]&gt;2000,"High Sales","Low Sales")</f>
        <v>Low Sales</v>
      </c>
    </row>
    <row r="62" spans="1:13" x14ac:dyDescent="0.3">
      <c r="A62" t="s">
        <v>70</v>
      </c>
      <c r="B62" t="s">
        <v>1658</v>
      </c>
      <c r="C62" s="1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  <c r="K62" t="str">
        <f>TEXT(Table1[[#This Row],[PurchaseDate]],"mmm")</f>
        <v>Jun</v>
      </c>
      <c r="L62">
        <f>YEAR(Table1[[#This Row],[PurchaseDate]])</f>
        <v>2024</v>
      </c>
      <c r="M62" t="str">
        <f>IF(Table1[[#This Row],[TotalPrice]]&gt;2000,"High Sales","Low Sales")</f>
        <v>High Sales</v>
      </c>
    </row>
    <row r="63" spans="1:13" x14ac:dyDescent="0.3">
      <c r="A63" t="s">
        <v>71</v>
      </c>
      <c r="B63" t="s">
        <v>1658</v>
      </c>
      <c r="C63" s="1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  <c r="K63" t="str">
        <f>TEXT(Table1[[#This Row],[PurchaseDate]],"mmm")</f>
        <v>Jun</v>
      </c>
      <c r="L63">
        <f>YEAR(Table1[[#This Row],[PurchaseDate]])</f>
        <v>2025</v>
      </c>
      <c r="M63" t="str">
        <f>IF(Table1[[#This Row],[TotalPrice]]&gt;2000,"High Sales","Low Sales")</f>
        <v>High Sales</v>
      </c>
    </row>
    <row r="64" spans="1:13" x14ac:dyDescent="0.3">
      <c r="A64" t="s">
        <v>72</v>
      </c>
      <c r="B64" t="s">
        <v>1655</v>
      </c>
      <c r="C64" s="1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  <c r="K64" t="str">
        <f>TEXT(Table1[[#This Row],[PurchaseDate]],"mmm")</f>
        <v>Jan</v>
      </c>
      <c r="L64">
        <f>YEAR(Table1[[#This Row],[PurchaseDate]])</f>
        <v>2023</v>
      </c>
      <c r="M64" t="str">
        <f>IF(Table1[[#This Row],[TotalPrice]]&gt;2000,"High Sales","Low Sales")</f>
        <v>High Sales</v>
      </c>
    </row>
    <row r="65" spans="1:13" x14ac:dyDescent="0.3">
      <c r="A65" t="s">
        <v>73</v>
      </c>
      <c r="B65" t="s">
        <v>1654</v>
      </c>
      <c r="C65" s="1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  <c r="K65" t="str">
        <f>TEXT(Table1[[#This Row],[PurchaseDate]],"mmm")</f>
        <v>Oct</v>
      </c>
      <c r="L65">
        <f>YEAR(Table1[[#This Row],[PurchaseDate]])</f>
        <v>2023</v>
      </c>
      <c r="M65" t="str">
        <f>IF(Table1[[#This Row],[TotalPrice]]&gt;2000,"High Sales","Low Sales")</f>
        <v>High Sales</v>
      </c>
    </row>
    <row r="66" spans="1:13" x14ac:dyDescent="0.3">
      <c r="A66" t="s">
        <v>74</v>
      </c>
      <c r="B66" t="s">
        <v>1656</v>
      </c>
      <c r="C66" s="1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  <c r="K66" t="str">
        <f>TEXT(Table1[[#This Row],[PurchaseDate]],"mmm")</f>
        <v>Mar</v>
      </c>
      <c r="L66">
        <f>YEAR(Table1[[#This Row],[PurchaseDate]])</f>
        <v>2023</v>
      </c>
      <c r="M66" t="str">
        <f>IF(Table1[[#This Row],[TotalPrice]]&gt;2000,"High Sales","Low Sales")</f>
        <v>Low Sales</v>
      </c>
    </row>
    <row r="67" spans="1:13" x14ac:dyDescent="0.3">
      <c r="A67" t="s">
        <v>75</v>
      </c>
      <c r="B67" t="s">
        <v>1653</v>
      </c>
      <c r="C67" s="1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  <c r="K67" t="str">
        <f>TEXT(Table1[[#This Row],[PurchaseDate]],"mmm")</f>
        <v>May</v>
      </c>
      <c r="L67">
        <f>YEAR(Table1[[#This Row],[PurchaseDate]])</f>
        <v>2024</v>
      </c>
      <c r="M67" t="str">
        <f>IF(Table1[[#This Row],[TotalPrice]]&gt;2000,"High Sales","Low Sales")</f>
        <v>Low Sales</v>
      </c>
    </row>
    <row r="68" spans="1:13" x14ac:dyDescent="0.3">
      <c r="A68" t="s">
        <v>76</v>
      </c>
      <c r="B68" t="s">
        <v>1657</v>
      </c>
      <c r="C68" s="1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  <c r="K68" t="str">
        <f>TEXT(Table1[[#This Row],[PurchaseDate]],"mmm")</f>
        <v>Nov</v>
      </c>
      <c r="L68">
        <f>YEAR(Table1[[#This Row],[PurchaseDate]])</f>
        <v>2024</v>
      </c>
      <c r="M68" t="str">
        <f>IF(Table1[[#This Row],[TotalPrice]]&gt;2000,"High Sales","Low Sales")</f>
        <v>Low Sales</v>
      </c>
    </row>
    <row r="69" spans="1:13" x14ac:dyDescent="0.3">
      <c r="A69" t="s">
        <v>77</v>
      </c>
      <c r="B69" t="s">
        <v>1656</v>
      </c>
      <c r="C69" s="1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  <c r="K69" t="str">
        <f>TEXT(Table1[[#This Row],[PurchaseDate]],"mmm")</f>
        <v>Mar</v>
      </c>
      <c r="L69">
        <f>YEAR(Table1[[#This Row],[PurchaseDate]])</f>
        <v>2023</v>
      </c>
      <c r="M69" t="str">
        <f>IF(Table1[[#This Row],[TotalPrice]]&gt;2000,"High Sales","Low Sales")</f>
        <v>Low Sales</v>
      </c>
    </row>
    <row r="70" spans="1:13" x14ac:dyDescent="0.3">
      <c r="A70" t="s">
        <v>78</v>
      </c>
      <c r="B70" t="s">
        <v>1654</v>
      </c>
      <c r="C70" s="1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  <c r="K70" t="str">
        <f>TEXT(Table1[[#This Row],[PurchaseDate]],"mmm")</f>
        <v>Jun</v>
      </c>
      <c r="L70">
        <f>YEAR(Table1[[#This Row],[PurchaseDate]])</f>
        <v>2023</v>
      </c>
      <c r="M70" t="str">
        <f>IF(Table1[[#This Row],[TotalPrice]]&gt;2000,"High Sales","Low Sales")</f>
        <v>Low Sales</v>
      </c>
    </row>
    <row r="71" spans="1:13" x14ac:dyDescent="0.3">
      <c r="A71" t="s">
        <v>79</v>
      </c>
      <c r="B71" t="s">
        <v>1657</v>
      </c>
      <c r="C71" s="1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  <c r="K71" t="str">
        <f>TEXT(Table1[[#This Row],[PurchaseDate]],"mmm")</f>
        <v>Mar</v>
      </c>
      <c r="L71">
        <f>YEAR(Table1[[#This Row],[PurchaseDate]])</f>
        <v>2025</v>
      </c>
      <c r="M71" t="str">
        <f>IF(Table1[[#This Row],[TotalPrice]]&gt;2000,"High Sales","Low Sales")</f>
        <v>Low Sales</v>
      </c>
    </row>
    <row r="72" spans="1:13" x14ac:dyDescent="0.3">
      <c r="A72" t="s">
        <v>80</v>
      </c>
      <c r="B72" t="s">
        <v>1656</v>
      </c>
      <c r="C72" s="1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  <c r="K72" t="str">
        <f>TEXT(Table1[[#This Row],[PurchaseDate]],"mmm")</f>
        <v>May</v>
      </c>
      <c r="L72">
        <f>YEAR(Table1[[#This Row],[PurchaseDate]])</f>
        <v>2025</v>
      </c>
      <c r="M72" t="str">
        <f>IF(Table1[[#This Row],[TotalPrice]]&gt;2000,"High Sales","Low Sales")</f>
        <v>High Sales</v>
      </c>
    </row>
    <row r="73" spans="1:13" x14ac:dyDescent="0.3">
      <c r="A73" t="s">
        <v>81</v>
      </c>
      <c r="B73" t="s">
        <v>1654</v>
      </c>
      <c r="C73" s="1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  <c r="K73" t="str">
        <f>TEXT(Table1[[#This Row],[PurchaseDate]],"mmm")</f>
        <v>Feb</v>
      </c>
      <c r="L73">
        <f>YEAR(Table1[[#This Row],[PurchaseDate]])</f>
        <v>2024</v>
      </c>
      <c r="M73" t="str">
        <f>IF(Table1[[#This Row],[TotalPrice]]&gt;2000,"High Sales","Low Sales")</f>
        <v>Low Sales</v>
      </c>
    </row>
    <row r="74" spans="1:13" x14ac:dyDescent="0.3">
      <c r="A74" t="s">
        <v>82</v>
      </c>
      <c r="B74" t="s">
        <v>1656</v>
      </c>
      <c r="C74" s="1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  <c r="K74" t="str">
        <f>TEXT(Table1[[#This Row],[PurchaseDate]],"mmm")</f>
        <v>Mar</v>
      </c>
      <c r="L74">
        <f>YEAR(Table1[[#This Row],[PurchaseDate]])</f>
        <v>2025</v>
      </c>
      <c r="M74" t="str">
        <f>IF(Table1[[#This Row],[TotalPrice]]&gt;2000,"High Sales","Low Sales")</f>
        <v>High Sales</v>
      </c>
    </row>
    <row r="75" spans="1:13" x14ac:dyDescent="0.3">
      <c r="A75" t="s">
        <v>83</v>
      </c>
      <c r="B75" t="s">
        <v>1655</v>
      </c>
      <c r="C75" s="1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  <c r="K75" t="str">
        <f>TEXT(Table1[[#This Row],[PurchaseDate]],"mmm")</f>
        <v>Sep</v>
      </c>
      <c r="L75">
        <f>YEAR(Table1[[#This Row],[PurchaseDate]])</f>
        <v>2024</v>
      </c>
      <c r="M75" t="str">
        <f>IF(Table1[[#This Row],[TotalPrice]]&gt;2000,"High Sales","Low Sales")</f>
        <v>Low Sales</v>
      </c>
    </row>
    <row r="76" spans="1:13" x14ac:dyDescent="0.3">
      <c r="A76" t="s">
        <v>84</v>
      </c>
      <c r="B76" t="s">
        <v>1656</v>
      </c>
      <c r="C76" s="1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  <c r="K76" t="str">
        <f>TEXT(Table1[[#This Row],[PurchaseDate]],"mmm")</f>
        <v>Dec</v>
      </c>
      <c r="L76">
        <f>YEAR(Table1[[#This Row],[PurchaseDate]])</f>
        <v>2024</v>
      </c>
      <c r="M76" t="str">
        <f>IF(Table1[[#This Row],[TotalPrice]]&gt;2000,"High Sales","Low Sales")</f>
        <v>Low Sales</v>
      </c>
    </row>
    <row r="77" spans="1:13" x14ac:dyDescent="0.3">
      <c r="A77" t="s">
        <v>85</v>
      </c>
      <c r="B77" t="s">
        <v>1658</v>
      </c>
      <c r="C77" s="1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  <c r="K77" t="str">
        <f>TEXT(Table1[[#This Row],[PurchaseDate]],"mmm")</f>
        <v>Jun</v>
      </c>
      <c r="L77">
        <f>YEAR(Table1[[#This Row],[PurchaseDate]])</f>
        <v>2023</v>
      </c>
      <c r="M77" t="str">
        <f>IF(Table1[[#This Row],[TotalPrice]]&gt;2000,"High Sales","Low Sales")</f>
        <v>Low Sales</v>
      </c>
    </row>
    <row r="78" spans="1:13" x14ac:dyDescent="0.3">
      <c r="A78" t="s">
        <v>86</v>
      </c>
      <c r="B78" t="s">
        <v>1652</v>
      </c>
      <c r="C78" s="1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  <c r="K78" t="str">
        <f>TEXT(Table1[[#This Row],[PurchaseDate]],"mmm")</f>
        <v>Jun</v>
      </c>
      <c r="L78">
        <f>YEAR(Table1[[#This Row],[PurchaseDate]])</f>
        <v>2024</v>
      </c>
      <c r="M78" t="str">
        <f>IF(Table1[[#This Row],[TotalPrice]]&gt;2000,"High Sales","Low Sales")</f>
        <v>Low Sales</v>
      </c>
    </row>
    <row r="79" spans="1:13" x14ac:dyDescent="0.3">
      <c r="A79" t="s">
        <v>87</v>
      </c>
      <c r="B79" t="s">
        <v>1658</v>
      </c>
      <c r="C79" s="1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  <c r="K79" t="str">
        <f>TEXT(Table1[[#This Row],[PurchaseDate]],"mmm")</f>
        <v>Apr</v>
      </c>
      <c r="L79">
        <f>YEAR(Table1[[#This Row],[PurchaseDate]])</f>
        <v>2025</v>
      </c>
      <c r="M79" t="str">
        <f>IF(Table1[[#This Row],[TotalPrice]]&gt;2000,"High Sales","Low Sales")</f>
        <v>Low Sales</v>
      </c>
    </row>
    <row r="80" spans="1:13" x14ac:dyDescent="0.3">
      <c r="A80" t="s">
        <v>88</v>
      </c>
      <c r="B80" t="s">
        <v>1652</v>
      </c>
      <c r="C80" s="1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  <c r="K80" t="str">
        <f>TEXT(Table1[[#This Row],[PurchaseDate]],"mmm")</f>
        <v>Feb</v>
      </c>
      <c r="L80">
        <f>YEAR(Table1[[#This Row],[PurchaseDate]])</f>
        <v>2024</v>
      </c>
      <c r="M80" t="str">
        <f>IF(Table1[[#This Row],[TotalPrice]]&gt;2000,"High Sales","Low Sales")</f>
        <v>Low Sales</v>
      </c>
    </row>
    <row r="81" spans="1:13" x14ac:dyDescent="0.3">
      <c r="A81" t="s">
        <v>89</v>
      </c>
      <c r="B81" t="s">
        <v>1653</v>
      </c>
      <c r="C81" s="1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  <c r="K81" t="str">
        <f>TEXT(Table1[[#This Row],[PurchaseDate]],"mmm")</f>
        <v>Feb</v>
      </c>
      <c r="L81">
        <f>YEAR(Table1[[#This Row],[PurchaseDate]])</f>
        <v>2025</v>
      </c>
      <c r="M81" t="str">
        <f>IF(Table1[[#This Row],[TotalPrice]]&gt;2000,"High Sales","Low Sales")</f>
        <v>Low Sales</v>
      </c>
    </row>
    <row r="82" spans="1:13" x14ac:dyDescent="0.3">
      <c r="A82" t="s">
        <v>90</v>
      </c>
      <c r="B82" t="s">
        <v>1657</v>
      </c>
      <c r="C82" s="1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  <c r="K82" t="str">
        <f>TEXT(Table1[[#This Row],[PurchaseDate]],"mmm")</f>
        <v>Aug</v>
      </c>
      <c r="L82">
        <f>YEAR(Table1[[#This Row],[PurchaseDate]])</f>
        <v>2023</v>
      </c>
      <c r="M82" t="str">
        <f>IF(Table1[[#This Row],[TotalPrice]]&gt;2000,"High Sales","Low Sales")</f>
        <v>High Sales</v>
      </c>
    </row>
    <row r="83" spans="1:13" x14ac:dyDescent="0.3">
      <c r="A83" t="s">
        <v>91</v>
      </c>
      <c r="B83" t="s">
        <v>1653</v>
      </c>
      <c r="C83" s="1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  <c r="K83" t="str">
        <f>TEXT(Table1[[#This Row],[PurchaseDate]],"mmm")</f>
        <v>Jan</v>
      </c>
      <c r="L83">
        <f>YEAR(Table1[[#This Row],[PurchaseDate]])</f>
        <v>2025</v>
      </c>
      <c r="M83" t="str">
        <f>IF(Table1[[#This Row],[TotalPrice]]&gt;2000,"High Sales","Low Sales")</f>
        <v>Low Sales</v>
      </c>
    </row>
    <row r="84" spans="1:13" x14ac:dyDescent="0.3">
      <c r="A84" t="s">
        <v>92</v>
      </c>
      <c r="B84" t="s">
        <v>1656</v>
      </c>
      <c r="C84" s="1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  <c r="K84" t="str">
        <f>TEXT(Table1[[#This Row],[PurchaseDate]],"mmm")</f>
        <v>May</v>
      </c>
      <c r="L84">
        <f>YEAR(Table1[[#This Row],[PurchaseDate]])</f>
        <v>2025</v>
      </c>
      <c r="M84" t="str">
        <f>IF(Table1[[#This Row],[TotalPrice]]&gt;2000,"High Sales","Low Sales")</f>
        <v>Low Sales</v>
      </c>
    </row>
    <row r="85" spans="1:13" x14ac:dyDescent="0.3">
      <c r="A85" t="s">
        <v>93</v>
      </c>
      <c r="B85" t="s">
        <v>1652</v>
      </c>
      <c r="C85" s="1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  <c r="K85" t="str">
        <f>TEXT(Table1[[#This Row],[PurchaseDate]],"mmm")</f>
        <v>May</v>
      </c>
      <c r="L85">
        <f>YEAR(Table1[[#This Row],[PurchaseDate]])</f>
        <v>2023</v>
      </c>
      <c r="M85" t="str">
        <f>IF(Table1[[#This Row],[TotalPrice]]&gt;2000,"High Sales","Low Sales")</f>
        <v>High Sales</v>
      </c>
    </row>
    <row r="86" spans="1:13" x14ac:dyDescent="0.3">
      <c r="A86" t="s">
        <v>94</v>
      </c>
      <c r="B86" t="s">
        <v>1655</v>
      </c>
      <c r="C86" s="1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  <c r="K86" t="str">
        <f>TEXT(Table1[[#This Row],[PurchaseDate]],"mmm")</f>
        <v>Apr</v>
      </c>
      <c r="L86">
        <f>YEAR(Table1[[#This Row],[PurchaseDate]])</f>
        <v>2023</v>
      </c>
      <c r="M86" t="str">
        <f>IF(Table1[[#This Row],[TotalPrice]]&gt;2000,"High Sales","Low Sales")</f>
        <v>Low Sales</v>
      </c>
    </row>
    <row r="87" spans="1:13" x14ac:dyDescent="0.3">
      <c r="A87" t="s">
        <v>95</v>
      </c>
      <c r="B87" t="s">
        <v>1658</v>
      </c>
      <c r="C87" s="1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  <c r="K87" t="str">
        <f>TEXT(Table1[[#This Row],[PurchaseDate]],"mmm")</f>
        <v>May</v>
      </c>
      <c r="L87">
        <f>YEAR(Table1[[#This Row],[PurchaseDate]])</f>
        <v>2024</v>
      </c>
      <c r="M87" t="str">
        <f>IF(Table1[[#This Row],[TotalPrice]]&gt;2000,"High Sales","Low Sales")</f>
        <v>Low Sales</v>
      </c>
    </row>
    <row r="88" spans="1:13" x14ac:dyDescent="0.3">
      <c r="A88" t="s">
        <v>96</v>
      </c>
      <c r="B88" t="s">
        <v>1653</v>
      </c>
      <c r="C88" s="1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  <c r="K88" t="str">
        <f>TEXT(Table1[[#This Row],[PurchaseDate]],"mmm")</f>
        <v>Aug</v>
      </c>
      <c r="L88">
        <f>YEAR(Table1[[#This Row],[PurchaseDate]])</f>
        <v>2023</v>
      </c>
      <c r="M88" t="str">
        <f>IF(Table1[[#This Row],[TotalPrice]]&gt;2000,"High Sales","Low Sales")</f>
        <v>High Sales</v>
      </c>
    </row>
    <row r="89" spans="1:13" x14ac:dyDescent="0.3">
      <c r="A89" t="s">
        <v>97</v>
      </c>
      <c r="B89" t="s">
        <v>1655</v>
      </c>
      <c r="C89" s="1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  <c r="K89" t="str">
        <f>TEXT(Table1[[#This Row],[PurchaseDate]],"mmm")</f>
        <v>Nov</v>
      </c>
      <c r="L89">
        <f>YEAR(Table1[[#This Row],[PurchaseDate]])</f>
        <v>2024</v>
      </c>
      <c r="M89" t="str">
        <f>IF(Table1[[#This Row],[TotalPrice]]&gt;2000,"High Sales","Low Sales")</f>
        <v>Low Sales</v>
      </c>
    </row>
    <row r="90" spans="1:13" x14ac:dyDescent="0.3">
      <c r="A90" t="s">
        <v>98</v>
      </c>
      <c r="B90" t="s">
        <v>1655</v>
      </c>
      <c r="C90" s="1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  <c r="K90" t="str">
        <f>TEXT(Table1[[#This Row],[PurchaseDate]],"mmm")</f>
        <v>Feb</v>
      </c>
      <c r="L90">
        <f>YEAR(Table1[[#This Row],[PurchaseDate]])</f>
        <v>2024</v>
      </c>
      <c r="M90" t="str">
        <f>IF(Table1[[#This Row],[TotalPrice]]&gt;2000,"High Sales","Low Sales")</f>
        <v>High Sales</v>
      </c>
    </row>
    <row r="91" spans="1:13" x14ac:dyDescent="0.3">
      <c r="A91" t="s">
        <v>99</v>
      </c>
      <c r="B91" t="s">
        <v>1658</v>
      </c>
      <c r="C91" s="1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  <c r="K91" t="str">
        <f>TEXT(Table1[[#This Row],[PurchaseDate]],"mmm")</f>
        <v>Dec</v>
      </c>
      <c r="L91">
        <f>YEAR(Table1[[#This Row],[PurchaseDate]])</f>
        <v>2024</v>
      </c>
      <c r="M91" t="str">
        <f>IF(Table1[[#This Row],[TotalPrice]]&gt;2000,"High Sales","Low Sales")</f>
        <v>Low Sales</v>
      </c>
    </row>
    <row r="92" spans="1:13" x14ac:dyDescent="0.3">
      <c r="A92" t="s">
        <v>30</v>
      </c>
      <c r="B92" t="s">
        <v>1653</v>
      </c>
      <c r="C92" s="1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  <c r="K92" t="str">
        <f>TEXT(Table1[[#This Row],[PurchaseDate]],"mmm")</f>
        <v>May</v>
      </c>
      <c r="L92">
        <f>YEAR(Table1[[#This Row],[PurchaseDate]])</f>
        <v>2025</v>
      </c>
      <c r="M92" t="str">
        <f>IF(Table1[[#This Row],[TotalPrice]]&gt;2000,"High Sales","Low Sales")</f>
        <v>Low Sales</v>
      </c>
    </row>
    <row r="93" spans="1:13" x14ac:dyDescent="0.3">
      <c r="A93" t="s">
        <v>100</v>
      </c>
      <c r="B93" t="s">
        <v>1658</v>
      </c>
      <c r="C93" s="1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  <c r="K93" t="str">
        <f>TEXT(Table1[[#This Row],[PurchaseDate]],"mmm")</f>
        <v>Jun</v>
      </c>
      <c r="L93">
        <f>YEAR(Table1[[#This Row],[PurchaseDate]])</f>
        <v>2024</v>
      </c>
      <c r="M93" t="str">
        <f>IF(Table1[[#This Row],[TotalPrice]]&gt;2000,"High Sales","Low Sales")</f>
        <v>Low Sales</v>
      </c>
    </row>
    <row r="94" spans="1:13" x14ac:dyDescent="0.3">
      <c r="A94" t="s">
        <v>101</v>
      </c>
      <c r="B94" t="s">
        <v>1654</v>
      </c>
      <c r="C94" s="1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  <c r="K94" t="str">
        <f>TEXT(Table1[[#This Row],[PurchaseDate]],"mmm")</f>
        <v>Nov</v>
      </c>
      <c r="L94">
        <f>YEAR(Table1[[#This Row],[PurchaseDate]])</f>
        <v>2023</v>
      </c>
      <c r="M94" t="str">
        <f>IF(Table1[[#This Row],[TotalPrice]]&gt;2000,"High Sales","Low Sales")</f>
        <v>Low Sales</v>
      </c>
    </row>
    <row r="95" spans="1:13" x14ac:dyDescent="0.3">
      <c r="A95" t="s">
        <v>102</v>
      </c>
      <c r="B95" t="s">
        <v>1658</v>
      </c>
      <c r="C95" s="1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  <c r="K95" t="str">
        <f>TEXT(Table1[[#This Row],[PurchaseDate]],"mmm")</f>
        <v>Jan</v>
      </c>
      <c r="L95">
        <f>YEAR(Table1[[#This Row],[PurchaseDate]])</f>
        <v>2024</v>
      </c>
      <c r="M95" t="str">
        <f>IF(Table1[[#This Row],[TotalPrice]]&gt;2000,"High Sales","Low Sales")</f>
        <v>High Sales</v>
      </c>
    </row>
    <row r="96" spans="1:13" x14ac:dyDescent="0.3">
      <c r="A96" t="s">
        <v>103</v>
      </c>
      <c r="B96" t="s">
        <v>1652</v>
      </c>
      <c r="C96" s="1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  <c r="K96" t="str">
        <f>TEXT(Table1[[#This Row],[PurchaseDate]],"mmm")</f>
        <v>Oct</v>
      </c>
      <c r="L96">
        <f>YEAR(Table1[[#This Row],[PurchaseDate]])</f>
        <v>2023</v>
      </c>
      <c r="M96" t="str">
        <f>IF(Table1[[#This Row],[TotalPrice]]&gt;2000,"High Sales","Low Sales")</f>
        <v>Low Sales</v>
      </c>
    </row>
    <row r="97" spans="1:13" x14ac:dyDescent="0.3">
      <c r="A97" t="s">
        <v>104</v>
      </c>
      <c r="B97" t="s">
        <v>1652</v>
      </c>
      <c r="C97" s="1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  <c r="K97" t="str">
        <f>TEXT(Table1[[#This Row],[PurchaseDate]],"mmm")</f>
        <v>Oct</v>
      </c>
      <c r="L97">
        <f>YEAR(Table1[[#This Row],[PurchaseDate]])</f>
        <v>2024</v>
      </c>
      <c r="M97" t="str">
        <f>IF(Table1[[#This Row],[TotalPrice]]&gt;2000,"High Sales","Low Sales")</f>
        <v>High Sales</v>
      </c>
    </row>
    <row r="98" spans="1:13" x14ac:dyDescent="0.3">
      <c r="A98" t="s">
        <v>105</v>
      </c>
      <c r="B98" t="s">
        <v>1657</v>
      </c>
      <c r="C98" s="1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  <c r="K98" t="str">
        <f>TEXT(Table1[[#This Row],[PurchaseDate]],"mmm")</f>
        <v>Nov</v>
      </c>
      <c r="L98">
        <f>YEAR(Table1[[#This Row],[PurchaseDate]])</f>
        <v>2023</v>
      </c>
      <c r="M98" t="str">
        <f>IF(Table1[[#This Row],[TotalPrice]]&gt;2000,"High Sales","Low Sales")</f>
        <v>High Sales</v>
      </c>
    </row>
    <row r="99" spans="1:13" x14ac:dyDescent="0.3">
      <c r="A99" t="s">
        <v>106</v>
      </c>
      <c r="B99" t="s">
        <v>1654</v>
      </c>
      <c r="C99" s="1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  <c r="K99" t="str">
        <f>TEXT(Table1[[#This Row],[PurchaseDate]],"mmm")</f>
        <v>Apr</v>
      </c>
      <c r="L99">
        <f>YEAR(Table1[[#This Row],[PurchaseDate]])</f>
        <v>2025</v>
      </c>
      <c r="M99" t="str">
        <f>IF(Table1[[#This Row],[TotalPrice]]&gt;2000,"High Sales","Low Sales")</f>
        <v>Low Sales</v>
      </c>
    </row>
    <row r="100" spans="1:13" x14ac:dyDescent="0.3">
      <c r="A100" t="s">
        <v>107</v>
      </c>
      <c r="B100" t="s">
        <v>1652</v>
      </c>
      <c r="C100" s="1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  <c r="K100" t="str">
        <f>TEXT(Table1[[#This Row],[PurchaseDate]],"mmm")</f>
        <v>Apr</v>
      </c>
      <c r="L100">
        <f>YEAR(Table1[[#This Row],[PurchaseDate]])</f>
        <v>2023</v>
      </c>
      <c r="M100" t="str">
        <f>IF(Table1[[#This Row],[TotalPrice]]&gt;2000,"High Sales","Low Sales")</f>
        <v>High Sales</v>
      </c>
    </row>
    <row r="101" spans="1:13" x14ac:dyDescent="0.3">
      <c r="A101" t="s">
        <v>108</v>
      </c>
      <c r="B101" t="s">
        <v>1654</v>
      </c>
      <c r="C101" s="1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  <c r="K101" t="str">
        <f>TEXT(Table1[[#This Row],[PurchaseDate]],"mmm")</f>
        <v>Jan</v>
      </c>
      <c r="L101">
        <f>YEAR(Table1[[#This Row],[PurchaseDate]])</f>
        <v>2023</v>
      </c>
      <c r="M101" t="str">
        <f>IF(Table1[[#This Row],[TotalPrice]]&gt;2000,"High Sales","Low Sales")</f>
        <v>High Sales</v>
      </c>
    </row>
    <row r="102" spans="1:13" x14ac:dyDescent="0.3">
      <c r="A102" t="s">
        <v>109</v>
      </c>
      <c r="B102" t="s">
        <v>1655</v>
      </c>
      <c r="C102" s="1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  <c r="K102" t="str">
        <f>TEXT(Table1[[#This Row],[PurchaseDate]],"mmm")</f>
        <v>Aug</v>
      </c>
      <c r="L102">
        <f>YEAR(Table1[[#This Row],[PurchaseDate]])</f>
        <v>2024</v>
      </c>
      <c r="M102" t="str">
        <f>IF(Table1[[#This Row],[TotalPrice]]&gt;2000,"High Sales","Low Sales")</f>
        <v>High Sales</v>
      </c>
    </row>
    <row r="103" spans="1:13" x14ac:dyDescent="0.3">
      <c r="A103" t="s">
        <v>110</v>
      </c>
      <c r="B103" t="s">
        <v>1657</v>
      </c>
      <c r="C103" s="1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  <c r="K103" t="str">
        <f>TEXT(Table1[[#This Row],[PurchaseDate]],"mmm")</f>
        <v>Jan</v>
      </c>
      <c r="L103">
        <f>YEAR(Table1[[#This Row],[PurchaseDate]])</f>
        <v>2024</v>
      </c>
      <c r="M103" t="str">
        <f>IF(Table1[[#This Row],[TotalPrice]]&gt;2000,"High Sales","Low Sales")</f>
        <v>High Sales</v>
      </c>
    </row>
    <row r="104" spans="1:13" x14ac:dyDescent="0.3">
      <c r="A104" t="s">
        <v>111</v>
      </c>
      <c r="B104" t="s">
        <v>1653</v>
      </c>
      <c r="C104" s="1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  <c r="K104" t="str">
        <f>TEXT(Table1[[#This Row],[PurchaseDate]],"mmm")</f>
        <v>Feb</v>
      </c>
      <c r="L104">
        <f>YEAR(Table1[[#This Row],[PurchaseDate]])</f>
        <v>2025</v>
      </c>
      <c r="M104" t="str">
        <f>IF(Table1[[#This Row],[TotalPrice]]&gt;2000,"High Sales","Low Sales")</f>
        <v>Low Sales</v>
      </c>
    </row>
    <row r="105" spans="1:13" x14ac:dyDescent="0.3">
      <c r="A105" t="s">
        <v>112</v>
      </c>
      <c r="B105" t="s">
        <v>1657</v>
      </c>
      <c r="C105" s="1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  <c r="K105" t="str">
        <f>TEXT(Table1[[#This Row],[PurchaseDate]],"mmm")</f>
        <v>Feb</v>
      </c>
      <c r="L105">
        <f>YEAR(Table1[[#This Row],[PurchaseDate]])</f>
        <v>2023</v>
      </c>
      <c r="M105" t="str">
        <f>IF(Table1[[#This Row],[TotalPrice]]&gt;2000,"High Sales","Low Sales")</f>
        <v>Low Sales</v>
      </c>
    </row>
    <row r="106" spans="1:13" x14ac:dyDescent="0.3">
      <c r="A106" t="s">
        <v>113</v>
      </c>
      <c r="B106" t="s">
        <v>1654</v>
      </c>
      <c r="C106" s="1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  <c r="K106" t="str">
        <f>TEXT(Table1[[#This Row],[PurchaseDate]],"mmm")</f>
        <v>Nov</v>
      </c>
      <c r="L106">
        <f>YEAR(Table1[[#This Row],[PurchaseDate]])</f>
        <v>2023</v>
      </c>
      <c r="M106" t="str">
        <f>IF(Table1[[#This Row],[TotalPrice]]&gt;2000,"High Sales","Low Sales")</f>
        <v>Low Sales</v>
      </c>
    </row>
    <row r="107" spans="1:13" x14ac:dyDescent="0.3">
      <c r="A107" t="s">
        <v>114</v>
      </c>
      <c r="B107" t="s">
        <v>1654</v>
      </c>
      <c r="C107" s="1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  <c r="K107" t="str">
        <f>TEXT(Table1[[#This Row],[PurchaseDate]],"mmm")</f>
        <v>Mar</v>
      </c>
      <c r="L107">
        <f>YEAR(Table1[[#This Row],[PurchaseDate]])</f>
        <v>2023</v>
      </c>
      <c r="M107" t="str">
        <f>IF(Table1[[#This Row],[TotalPrice]]&gt;2000,"High Sales","Low Sales")</f>
        <v>Low Sales</v>
      </c>
    </row>
    <row r="108" spans="1:13" x14ac:dyDescent="0.3">
      <c r="A108" t="s">
        <v>115</v>
      </c>
      <c r="B108" t="s">
        <v>1656</v>
      </c>
      <c r="C108" s="1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  <c r="K108" t="str">
        <f>TEXT(Table1[[#This Row],[PurchaseDate]],"mmm")</f>
        <v>Nov</v>
      </c>
      <c r="L108">
        <f>YEAR(Table1[[#This Row],[PurchaseDate]])</f>
        <v>2023</v>
      </c>
      <c r="M108" t="str">
        <f>IF(Table1[[#This Row],[TotalPrice]]&gt;2000,"High Sales","Low Sales")</f>
        <v>Low Sales</v>
      </c>
    </row>
    <row r="109" spans="1:13" x14ac:dyDescent="0.3">
      <c r="A109" t="s">
        <v>116</v>
      </c>
      <c r="B109" t="s">
        <v>1657</v>
      </c>
      <c r="C109" s="1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  <c r="K109" t="str">
        <f>TEXT(Table1[[#This Row],[PurchaseDate]],"mmm")</f>
        <v>Apr</v>
      </c>
      <c r="L109">
        <f>YEAR(Table1[[#This Row],[PurchaseDate]])</f>
        <v>2025</v>
      </c>
      <c r="M109" t="str">
        <f>IF(Table1[[#This Row],[TotalPrice]]&gt;2000,"High Sales","Low Sales")</f>
        <v>High Sales</v>
      </c>
    </row>
    <row r="110" spans="1:13" x14ac:dyDescent="0.3">
      <c r="A110" t="s">
        <v>117</v>
      </c>
      <c r="B110" t="s">
        <v>1652</v>
      </c>
      <c r="C110" s="1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  <c r="K110" t="str">
        <f>TEXT(Table1[[#This Row],[PurchaseDate]],"mmm")</f>
        <v>Sep</v>
      </c>
      <c r="L110">
        <f>YEAR(Table1[[#This Row],[PurchaseDate]])</f>
        <v>2024</v>
      </c>
      <c r="M110" t="str">
        <f>IF(Table1[[#This Row],[TotalPrice]]&gt;2000,"High Sales","Low Sales")</f>
        <v>Low Sales</v>
      </c>
    </row>
    <row r="111" spans="1:13" x14ac:dyDescent="0.3">
      <c r="A111" t="s">
        <v>118</v>
      </c>
      <c r="B111" t="s">
        <v>1653</v>
      </c>
      <c r="C111" s="1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  <c r="K111" t="str">
        <f>TEXT(Table1[[#This Row],[PurchaseDate]],"mmm")</f>
        <v>Dec</v>
      </c>
      <c r="L111">
        <f>YEAR(Table1[[#This Row],[PurchaseDate]])</f>
        <v>2024</v>
      </c>
      <c r="M111" t="str">
        <f>IF(Table1[[#This Row],[TotalPrice]]&gt;2000,"High Sales","Low Sales")</f>
        <v>Low Sales</v>
      </c>
    </row>
    <row r="112" spans="1:13" x14ac:dyDescent="0.3">
      <c r="A112" t="s">
        <v>119</v>
      </c>
      <c r="B112" t="s">
        <v>1655</v>
      </c>
      <c r="C112" s="1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  <c r="K112" t="str">
        <f>TEXT(Table1[[#This Row],[PurchaseDate]],"mmm")</f>
        <v>Apr</v>
      </c>
      <c r="L112">
        <f>YEAR(Table1[[#This Row],[PurchaseDate]])</f>
        <v>2024</v>
      </c>
      <c r="M112" t="str">
        <f>IF(Table1[[#This Row],[TotalPrice]]&gt;2000,"High Sales","Low Sales")</f>
        <v>High Sales</v>
      </c>
    </row>
    <row r="113" spans="1:13" x14ac:dyDescent="0.3">
      <c r="A113" t="s">
        <v>120</v>
      </c>
      <c r="B113" t="s">
        <v>1655</v>
      </c>
      <c r="C113" s="1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  <c r="K113" t="str">
        <f>TEXT(Table1[[#This Row],[PurchaseDate]],"mmm")</f>
        <v>Nov</v>
      </c>
      <c r="L113">
        <f>YEAR(Table1[[#This Row],[PurchaseDate]])</f>
        <v>2023</v>
      </c>
      <c r="M113" t="str">
        <f>IF(Table1[[#This Row],[TotalPrice]]&gt;2000,"High Sales","Low Sales")</f>
        <v>Low Sales</v>
      </c>
    </row>
    <row r="114" spans="1:13" x14ac:dyDescent="0.3">
      <c r="A114" t="s">
        <v>121</v>
      </c>
      <c r="B114" t="s">
        <v>1655</v>
      </c>
      <c r="C114" s="1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  <c r="K114" t="str">
        <f>TEXT(Table1[[#This Row],[PurchaseDate]],"mmm")</f>
        <v>Oct</v>
      </c>
      <c r="L114">
        <f>YEAR(Table1[[#This Row],[PurchaseDate]])</f>
        <v>2023</v>
      </c>
      <c r="M114" t="str">
        <f>IF(Table1[[#This Row],[TotalPrice]]&gt;2000,"High Sales","Low Sales")</f>
        <v>Low Sales</v>
      </c>
    </row>
    <row r="115" spans="1:13" x14ac:dyDescent="0.3">
      <c r="A115" t="s">
        <v>122</v>
      </c>
      <c r="B115" t="s">
        <v>1656</v>
      </c>
      <c r="C115" s="1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  <c r="K115" t="str">
        <f>TEXT(Table1[[#This Row],[PurchaseDate]],"mmm")</f>
        <v>Sep</v>
      </c>
      <c r="L115">
        <f>YEAR(Table1[[#This Row],[PurchaseDate]])</f>
        <v>2023</v>
      </c>
      <c r="M115" t="str">
        <f>IF(Table1[[#This Row],[TotalPrice]]&gt;2000,"High Sales","Low Sales")</f>
        <v>Low Sales</v>
      </c>
    </row>
    <row r="116" spans="1:13" x14ac:dyDescent="0.3">
      <c r="A116" t="s">
        <v>123</v>
      </c>
      <c r="B116" t="s">
        <v>1652</v>
      </c>
      <c r="C116" s="1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  <c r="K116" t="str">
        <f>TEXT(Table1[[#This Row],[PurchaseDate]],"mmm")</f>
        <v>Sep</v>
      </c>
      <c r="L116">
        <f>YEAR(Table1[[#This Row],[PurchaseDate]])</f>
        <v>2024</v>
      </c>
      <c r="M116" t="str">
        <f>IF(Table1[[#This Row],[TotalPrice]]&gt;2000,"High Sales","Low Sales")</f>
        <v>Low Sales</v>
      </c>
    </row>
    <row r="117" spans="1:13" x14ac:dyDescent="0.3">
      <c r="A117" t="s">
        <v>124</v>
      </c>
      <c r="B117" t="s">
        <v>1655</v>
      </c>
      <c r="C117" s="1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  <c r="K117" t="str">
        <f>TEXT(Table1[[#This Row],[PurchaseDate]],"mmm")</f>
        <v>Oct</v>
      </c>
      <c r="L117">
        <f>YEAR(Table1[[#This Row],[PurchaseDate]])</f>
        <v>2024</v>
      </c>
      <c r="M117" t="str">
        <f>IF(Table1[[#This Row],[TotalPrice]]&gt;2000,"High Sales","Low Sales")</f>
        <v>Low Sales</v>
      </c>
    </row>
    <row r="118" spans="1:13" x14ac:dyDescent="0.3">
      <c r="A118" t="s">
        <v>125</v>
      </c>
      <c r="B118" t="s">
        <v>1657</v>
      </c>
      <c r="C118" s="1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  <c r="K118" t="str">
        <f>TEXT(Table1[[#This Row],[PurchaseDate]],"mmm")</f>
        <v>Mar</v>
      </c>
      <c r="L118">
        <f>YEAR(Table1[[#This Row],[PurchaseDate]])</f>
        <v>2024</v>
      </c>
      <c r="M118" t="str">
        <f>IF(Table1[[#This Row],[TotalPrice]]&gt;2000,"High Sales","Low Sales")</f>
        <v>Low Sales</v>
      </c>
    </row>
    <row r="119" spans="1:13" x14ac:dyDescent="0.3">
      <c r="A119" t="s">
        <v>126</v>
      </c>
      <c r="B119" t="s">
        <v>1657</v>
      </c>
      <c r="C119" s="1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  <c r="K119" t="str">
        <f>TEXT(Table1[[#This Row],[PurchaseDate]],"mmm")</f>
        <v>Aug</v>
      </c>
      <c r="L119">
        <f>YEAR(Table1[[#This Row],[PurchaseDate]])</f>
        <v>2023</v>
      </c>
      <c r="M119" t="str">
        <f>IF(Table1[[#This Row],[TotalPrice]]&gt;2000,"High Sales","Low Sales")</f>
        <v>High Sales</v>
      </c>
    </row>
    <row r="120" spans="1:13" x14ac:dyDescent="0.3">
      <c r="A120" t="s">
        <v>127</v>
      </c>
      <c r="B120" t="s">
        <v>1655</v>
      </c>
      <c r="C120" s="1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  <c r="K120" t="str">
        <f>TEXT(Table1[[#This Row],[PurchaseDate]],"mmm")</f>
        <v>Aug</v>
      </c>
      <c r="L120">
        <f>YEAR(Table1[[#This Row],[PurchaseDate]])</f>
        <v>2023</v>
      </c>
      <c r="M120" t="str">
        <f>IF(Table1[[#This Row],[TotalPrice]]&gt;2000,"High Sales","Low Sales")</f>
        <v>High Sales</v>
      </c>
    </row>
    <row r="121" spans="1:13" x14ac:dyDescent="0.3">
      <c r="A121" t="s">
        <v>128</v>
      </c>
      <c r="B121" t="s">
        <v>1657</v>
      </c>
      <c r="C121" s="1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  <c r="K121" t="str">
        <f>TEXT(Table1[[#This Row],[PurchaseDate]],"mmm")</f>
        <v>Mar</v>
      </c>
      <c r="L121">
        <f>YEAR(Table1[[#This Row],[PurchaseDate]])</f>
        <v>2023</v>
      </c>
      <c r="M121" t="str">
        <f>IF(Table1[[#This Row],[TotalPrice]]&gt;2000,"High Sales","Low Sales")</f>
        <v>Low Sales</v>
      </c>
    </row>
    <row r="122" spans="1:13" x14ac:dyDescent="0.3">
      <c r="A122" t="s">
        <v>129</v>
      </c>
      <c r="B122" t="s">
        <v>1654</v>
      </c>
      <c r="C122" s="1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  <c r="K122" t="str">
        <f>TEXT(Table1[[#This Row],[PurchaseDate]],"mmm")</f>
        <v>Jul</v>
      </c>
      <c r="L122">
        <f>YEAR(Table1[[#This Row],[PurchaseDate]])</f>
        <v>2023</v>
      </c>
      <c r="M122" t="str">
        <f>IF(Table1[[#This Row],[TotalPrice]]&gt;2000,"High Sales","Low Sales")</f>
        <v>High Sales</v>
      </c>
    </row>
    <row r="123" spans="1:13" x14ac:dyDescent="0.3">
      <c r="A123" t="s">
        <v>130</v>
      </c>
      <c r="B123" t="s">
        <v>1652</v>
      </c>
      <c r="C123" s="1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  <c r="K123" t="str">
        <f>TEXT(Table1[[#This Row],[PurchaseDate]],"mmm")</f>
        <v>Jun</v>
      </c>
      <c r="L123">
        <f>YEAR(Table1[[#This Row],[PurchaseDate]])</f>
        <v>2024</v>
      </c>
      <c r="M123" t="str">
        <f>IF(Table1[[#This Row],[TotalPrice]]&gt;2000,"High Sales","Low Sales")</f>
        <v>Low Sales</v>
      </c>
    </row>
    <row r="124" spans="1:13" x14ac:dyDescent="0.3">
      <c r="A124" t="s">
        <v>131</v>
      </c>
      <c r="B124" t="s">
        <v>1654</v>
      </c>
      <c r="C124" s="1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  <c r="K124" t="str">
        <f>TEXT(Table1[[#This Row],[PurchaseDate]],"mmm")</f>
        <v>Mar</v>
      </c>
      <c r="L124">
        <f>YEAR(Table1[[#This Row],[PurchaseDate]])</f>
        <v>2024</v>
      </c>
      <c r="M124" t="str">
        <f>IF(Table1[[#This Row],[TotalPrice]]&gt;2000,"High Sales","Low Sales")</f>
        <v>Low Sales</v>
      </c>
    </row>
    <row r="125" spans="1:13" x14ac:dyDescent="0.3">
      <c r="A125" t="s">
        <v>132</v>
      </c>
      <c r="B125" t="s">
        <v>1658</v>
      </c>
      <c r="C125" s="1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  <c r="K125" t="str">
        <f>TEXT(Table1[[#This Row],[PurchaseDate]],"mmm")</f>
        <v>Oct</v>
      </c>
      <c r="L125">
        <f>YEAR(Table1[[#This Row],[PurchaseDate]])</f>
        <v>2023</v>
      </c>
      <c r="M125" t="str">
        <f>IF(Table1[[#This Row],[TotalPrice]]&gt;2000,"High Sales","Low Sales")</f>
        <v>Low Sales</v>
      </c>
    </row>
    <row r="126" spans="1:13" x14ac:dyDescent="0.3">
      <c r="A126" t="s">
        <v>133</v>
      </c>
      <c r="B126" t="s">
        <v>1653</v>
      </c>
      <c r="C126" s="1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  <c r="K126" t="str">
        <f>TEXT(Table1[[#This Row],[PurchaseDate]],"mmm")</f>
        <v>Aug</v>
      </c>
      <c r="L126">
        <f>YEAR(Table1[[#This Row],[PurchaseDate]])</f>
        <v>2024</v>
      </c>
      <c r="M126" t="str">
        <f>IF(Table1[[#This Row],[TotalPrice]]&gt;2000,"High Sales","Low Sales")</f>
        <v>Low Sales</v>
      </c>
    </row>
    <row r="127" spans="1:13" x14ac:dyDescent="0.3">
      <c r="A127" t="s">
        <v>134</v>
      </c>
      <c r="B127" t="s">
        <v>1656</v>
      </c>
      <c r="C127" s="1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  <c r="K127" t="str">
        <f>TEXT(Table1[[#This Row],[PurchaseDate]],"mmm")</f>
        <v>Oct</v>
      </c>
      <c r="L127">
        <f>YEAR(Table1[[#This Row],[PurchaseDate]])</f>
        <v>2023</v>
      </c>
      <c r="M127" t="str">
        <f>IF(Table1[[#This Row],[TotalPrice]]&gt;2000,"High Sales","Low Sales")</f>
        <v>High Sales</v>
      </c>
    </row>
    <row r="128" spans="1:13" x14ac:dyDescent="0.3">
      <c r="A128" t="s">
        <v>135</v>
      </c>
      <c r="B128" t="s">
        <v>1654</v>
      </c>
      <c r="C128" s="1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  <c r="K128" t="str">
        <f>TEXT(Table1[[#This Row],[PurchaseDate]],"mmm")</f>
        <v>Apr</v>
      </c>
      <c r="L128">
        <f>YEAR(Table1[[#This Row],[PurchaseDate]])</f>
        <v>2025</v>
      </c>
      <c r="M128" t="str">
        <f>IF(Table1[[#This Row],[TotalPrice]]&gt;2000,"High Sales","Low Sales")</f>
        <v>Low Sales</v>
      </c>
    </row>
    <row r="129" spans="1:13" x14ac:dyDescent="0.3">
      <c r="A129" t="s">
        <v>136</v>
      </c>
      <c r="B129" t="s">
        <v>1654</v>
      </c>
      <c r="C129" s="1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  <c r="K129" t="str">
        <f>TEXT(Table1[[#This Row],[PurchaseDate]],"mmm")</f>
        <v>Mar</v>
      </c>
      <c r="L129">
        <f>YEAR(Table1[[#This Row],[PurchaseDate]])</f>
        <v>2025</v>
      </c>
      <c r="M129" t="str">
        <f>IF(Table1[[#This Row],[TotalPrice]]&gt;2000,"High Sales","Low Sales")</f>
        <v>Low Sales</v>
      </c>
    </row>
    <row r="130" spans="1:13" x14ac:dyDescent="0.3">
      <c r="A130" t="s">
        <v>137</v>
      </c>
      <c r="B130" t="s">
        <v>1654</v>
      </c>
      <c r="C130" s="1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  <c r="K130" t="str">
        <f>TEXT(Table1[[#This Row],[PurchaseDate]],"mmm")</f>
        <v>Jun</v>
      </c>
      <c r="L130">
        <f>YEAR(Table1[[#This Row],[PurchaseDate]])</f>
        <v>2023</v>
      </c>
      <c r="M130" t="str">
        <f>IF(Table1[[#This Row],[TotalPrice]]&gt;2000,"High Sales","Low Sales")</f>
        <v>High Sales</v>
      </c>
    </row>
    <row r="131" spans="1:13" x14ac:dyDescent="0.3">
      <c r="A131" t="s">
        <v>138</v>
      </c>
      <c r="B131" t="s">
        <v>1656</v>
      </c>
      <c r="C131" s="1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  <c r="K131" t="str">
        <f>TEXT(Table1[[#This Row],[PurchaseDate]],"mmm")</f>
        <v>Feb</v>
      </c>
      <c r="L131">
        <f>YEAR(Table1[[#This Row],[PurchaseDate]])</f>
        <v>2024</v>
      </c>
      <c r="M131" t="str">
        <f>IF(Table1[[#This Row],[TotalPrice]]&gt;2000,"High Sales","Low Sales")</f>
        <v>Low Sales</v>
      </c>
    </row>
    <row r="132" spans="1:13" x14ac:dyDescent="0.3">
      <c r="A132" t="s">
        <v>139</v>
      </c>
      <c r="B132" t="s">
        <v>1655</v>
      </c>
      <c r="C132" s="1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  <c r="K132" t="str">
        <f>TEXT(Table1[[#This Row],[PurchaseDate]],"mmm")</f>
        <v>Feb</v>
      </c>
      <c r="L132">
        <f>YEAR(Table1[[#This Row],[PurchaseDate]])</f>
        <v>2024</v>
      </c>
      <c r="M132" t="str">
        <f>IF(Table1[[#This Row],[TotalPrice]]&gt;2000,"High Sales","Low Sales")</f>
        <v>Low Sales</v>
      </c>
    </row>
    <row r="133" spans="1:13" x14ac:dyDescent="0.3">
      <c r="A133" t="s">
        <v>140</v>
      </c>
      <c r="B133" t="s">
        <v>1653</v>
      </c>
      <c r="C133" s="1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  <c r="K133" t="str">
        <f>TEXT(Table1[[#This Row],[PurchaseDate]],"mmm")</f>
        <v>Sep</v>
      </c>
      <c r="L133">
        <f>YEAR(Table1[[#This Row],[PurchaseDate]])</f>
        <v>2024</v>
      </c>
      <c r="M133" t="str">
        <f>IF(Table1[[#This Row],[TotalPrice]]&gt;2000,"High Sales","Low Sales")</f>
        <v>High Sales</v>
      </c>
    </row>
    <row r="134" spans="1:13" x14ac:dyDescent="0.3">
      <c r="A134" t="s">
        <v>141</v>
      </c>
      <c r="B134" t="s">
        <v>1656</v>
      </c>
      <c r="C134" s="1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  <c r="K134" t="str">
        <f>TEXT(Table1[[#This Row],[PurchaseDate]],"mmm")</f>
        <v>Apr</v>
      </c>
      <c r="L134">
        <f>YEAR(Table1[[#This Row],[PurchaseDate]])</f>
        <v>2024</v>
      </c>
      <c r="M134" t="str">
        <f>IF(Table1[[#This Row],[TotalPrice]]&gt;2000,"High Sales","Low Sales")</f>
        <v>Low Sales</v>
      </c>
    </row>
    <row r="135" spans="1:13" x14ac:dyDescent="0.3">
      <c r="A135" t="s">
        <v>142</v>
      </c>
      <c r="B135" t="s">
        <v>1655</v>
      </c>
      <c r="C135" s="1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  <c r="K135" t="str">
        <f>TEXT(Table1[[#This Row],[PurchaseDate]],"mmm")</f>
        <v>Dec</v>
      </c>
      <c r="L135">
        <f>YEAR(Table1[[#This Row],[PurchaseDate]])</f>
        <v>2023</v>
      </c>
      <c r="M135" t="str">
        <f>IF(Table1[[#This Row],[TotalPrice]]&gt;2000,"High Sales","Low Sales")</f>
        <v>Low Sales</v>
      </c>
    </row>
    <row r="136" spans="1:13" x14ac:dyDescent="0.3">
      <c r="A136" t="s">
        <v>143</v>
      </c>
      <c r="B136" t="s">
        <v>1655</v>
      </c>
      <c r="C136" s="1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  <c r="K136" t="str">
        <f>TEXT(Table1[[#This Row],[PurchaseDate]],"mmm")</f>
        <v>Jun</v>
      </c>
      <c r="L136">
        <f>YEAR(Table1[[#This Row],[PurchaseDate]])</f>
        <v>2023</v>
      </c>
      <c r="M136" t="str">
        <f>IF(Table1[[#This Row],[TotalPrice]]&gt;2000,"High Sales","Low Sales")</f>
        <v>High Sales</v>
      </c>
    </row>
    <row r="137" spans="1:13" x14ac:dyDescent="0.3">
      <c r="A137" t="s">
        <v>144</v>
      </c>
      <c r="B137" t="s">
        <v>1656</v>
      </c>
      <c r="C137" s="1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  <c r="K137" t="str">
        <f>TEXT(Table1[[#This Row],[PurchaseDate]],"mmm")</f>
        <v>Apr</v>
      </c>
      <c r="L137">
        <f>YEAR(Table1[[#This Row],[PurchaseDate]])</f>
        <v>2023</v>
      </c>
      <c r="M137" t="str">
        <f>IF(Table1[[#This Row],[TotalPrice]]&gt;2000,"High Sales","Low Sales")</f>
        <v>High Sales</v>
      </c>
    </row>
    <row r="138" spans="1:13" x14ac:dyDescent="0.3">
      <c r="A138" t="s">
        <v>145</v>
      </c>
      <c r="B138" t="s">
        <v>1655</v>
      </c>
      <c r="C138" s="1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  <c r="K138" t="str">
        <f>TEXT(Table1[[#This Row],[PurchaseDate]],"mmm")</f>
        <v>Dec</v>
      </c>
      <c r="L138">
        <f>YEAR(Table1[[#This Row],[PurchaseDate]])</f>
        <v>2023</v>
      </c>
      <c r="M138" t="str">
        <f>IF(Table1[[#This Row],[TotalPrice]]&gt;2000,"High Sales","Low Sales")</f>
        <v>Low Sales</v>
      </c>
    </row>
    <row r="139" spans="1:13" x14ac:dyDescent="0.3">
      <c r="A139" t="s">
        <v>146</v>
      </c>
      <c r="B139" t="s">
        <v>1656</v>
      </c>
      <c r="C139" s="1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  <c r="K139" t="str">
        <f>TEXT(Table1[[#This Row],[PurchaseDate]],"mmm")</f>
        <v>Nov</v>
      </c>
      <c r="L139">
        <f>YEAR(Table1[[#This Row],[PurchaseDate]])</f>
        <v>2024</v>
      </c>
      <c r="M139" t="str">
        <f>IF(Table1[[#This Row],[TotalPrice]]&gt;2000,"High Sales","Low Sales")</f>
        <v>Low Sales</v>
      </c>
    </row>
    <row r="140" spans="1:13" x14ac:dyDescent="0.3">
      <c r="A140" t="s">
        <v>147</v>
      </c>
      <c r="B140" t="s">
        <v>1653</v>
      </c>
      <c r="C140" s="1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  <c r="K140" t="str">
        <f>TEXT(Table1[[#This Row],[PurchaseDate]],"mmm")</f>
        <v>Feb</v>
      </c>
      <c r="L140">
        <f>YEAR(Table1[[#This Row],[PurchaseDate]])</f>
        <v>2023</v>
      </c>
      <c r="M140" t="str">
        <f>IF(Table1[[#This Row],[TotalPrice]]&gt;2000,"High Sales","Low Sales")</f>
        <v>High Sales</v>
      </c>
    </row>
    <row r="141" spans="1:13" x14ac:dyDescent="0.3">
      <c r="A141" t="s">
        <v>148</v>
      </c>
      <c r="B141" t="s">
        <v>1652</v>
      </c>
      <c r="C141" s="1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  <c r="K141" t="str">
        <f>TEXT(Table1[[#This Row],[PurchaseDate]],"mmm")</f>
        <v>Feb</v>
      </c>
      <c r="L141">
        <f>YEAR(Table1[[#This Row],[PurchaseDate]])</f>
        <v>2023</v>
      </c>
      <c r="M141" t="str">
        <f>IF(Table1[[#This Row],[TotalPrice]]&gt;2000,"High Sales","Low Sales")</f>
        <v>High Sales</v>
      </c>
    </row>
    <row r="142" spans="1:13" x14ac:dyDescent="0.3">
      <c r="A142" t="s">
        <v>149</v>
      </c>
      <c r="B142" t="s">
        <v>1656</v>
      </c>
      <c r="C142" s="1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  <c r="K142" t="str">
        <f>TEXT(Table1[[#This Row],[PurchaseDate]],"mmm")</f>
        <v>Jun</v>
      </c>
      <c r="L142">
        <f>YEAR(Table1[[#This Row],[PurchaseDate]])</f>
        <v>2023</v>
      </c>
      <c r="M142" t="str">
        <f>IF(Table1[[#This Row],[TotalPrice]]&gt;2000,"High Sales","Low Sales")</f>
        <v>Low Sales</v>
      </c>
    </row>
    <row r="143" spans="1:13" x14ac:dyDescent="0.3">
      <c r="A143" t="s">
        <v>150</v>
      </c>
      <c r="B143" t="s">
        <v>1653</v>
      </c>
      <c r="C143" s="1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  <c r="K143" t="str">
        <f>TEXT(Table1[[#This Row],[PurchaseDate]],"mmm")</f>
        <v>Jul</v>
      </c>
      <c r="L143">
        <f>YEAR(Table1[[#This Row],[PurchaseDate]])</f>
        <v>2024</v>
      </c>
      <c r="M143" t="str">
        <f>IF(Table1[[#This Row],[TotalPrice]]&gt;2000,"High Sales","Low Sales")</f>
        <v>Low Sales</v>
      </c>
    </row>
    <row r="144" spans="1:13" x14ac:dyDescent="0.3">
      <c r="A144" t="s">
        <v>151</v>
      </c>
      <c r="B144" t="s">
        <v>1656</v>
      </c>
      <c r="C144" s="1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  <c r="K144" t="str">
        <f>TEXT(Table1[[#This Row],[PurchaseDate]],"mmm")</f>
        <v>Oct</v>
      </c>
      <c r="L144">
        <f>YEAR(Table1[[#This Row],[PurchaseDate]])</f>
        <v>2024</v>
      </c>
      <c r="M144" t="str">
        <f>IF(Table1[[#This Row],[TotalPrice]]&gt;2000,"High Sales","Low Sales")</f>
        <v>High Sales</v>
      </c>
    </row>
    <row r="145" spans="1:13" x14ac:dyDescent="0.3">
      <c r="A145" t="s">
        <v>152</v>
      </c>
      <c r="B145" t="s">
        <v>1653</v>
      </c>
      <c r="C145" s="1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  <c r="K145" t="str">
        <f>TEXT(Table1[[#This Row],[PurchaseDate]],"mmm")</f>
        <v>Apr</v>
      </c>
      <c r="L145">
        <f>YEAR(Table1[[#This Row],[PurchaseDate]])</f>
        <v>2024</v>
      </c>
      <c r="M145" t="str">
        <f>IF(Table1[[#This Row],[TotalPrice]]&gt;2000,"High Sales","Low Sales")</f>
        <v>Low Sales</v>
      </c>
    </row>
    <row r="146" spans="1:13" x14ac:dyDescent="0.3">
      <c r="A146" t="s">
        <v>153</v>
      </c>
      <c r="B146" t="s">
        <v>1655</v>
      </c>
      <c r="C146" s="1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  <c r="K146" t="str">
        <f>TEXT(Table1[[#This Row],[PurchaseDate]],"mmm")</f>
        <v>Apr</v>
      </c>
      <c r="L146">
        <f>YEAR(Table1[[#This Row],[PurchaseDate]])</f>
        <v>2024</v>
      </c>
      <c r="M146" t="str">
        <f>IF(Table1[[#This Row],[TotalPrice]]&gt;2000,"High Sales","Low Sales")</f>
        <v>High Sales</v>
      </c>
    </row>
    <row r="147" spans="1:13" x14ac:dyDescent="0.3">
      <c r="A147" t="s">
        <v>74</v>
      </c>
      <c r="B147" t="s">
        <v>1654</v>
      </c>
      <c r="C147" s="1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  <c r="K147" t="str">
        <f>TEXT(Table1[[#This Row],[PurchaseDate]],"mmm")</f>
        <v>Aug</v>
      </c>
      <c r="L147">
        <f>YEAR(Table1[[#This Row],[PurchaseDate]])</f>
        <v>2024</v>
      </c>
      <c r="M147" t="str">
        <f>IF(Table1[[#This Row],[TotalPrice]]&gt;2000,"High Sales","Low Sales")</f>
        <v>Low Sales</v>
      </c>
    </row>
    <row r="148" spans="1:13" x14ac:dyDescent="0.3">
      <c r="A148" t="s">
        <v>154</v>
      </c>
      <c r="B148" t="s">
        <v>1655</v>
      </c>
      <c r="C148" s="1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  <c r="K148" t="str">
        <f>TEXT(Table1[[#This Row],[PurchaseDate]],"mmm")</f>
        <v>Dec</v>
      </c>
      <c r="L148">
        <f>YEAR(Table1[[#This Row],[PurchaseDate]])</f>
        <v>2023</v>
      </c>
      <c r="M148" t="str">
        <f>IF(Table1[[#This Row],[TotalPrice]]&gt;2000,"High Sales","Low Sales")</f>
        <v>Low Sales</v>
      </c>
    </row>
    <row r="149" spans="1:13" x14ac:dyDescent="0.3">
      <c r="A149" t="s">
        <v>155</v>
      </c>
      <c r="B149" t="s">
        <v>1656</v>
      </c>
      <c r="C149" s="1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  <c r="K149" t="str">
        <f>TEXT(Table1[[#This Row],[PurchaseDate]],"mmm")</f>
        <v>Jan</v>
      </c>
      <c r="L149">
        <f>YEAR(Table1[[#This Row],[PurchaseDate]])</f>
        <v>2025</v>
      </c>
      <c r="M149" t="str">
        <f>IF(Table1[[#This Row],[TotalPrice]]&gt;2000,"High Sales","Low Sales")</f>
        <v>High Sales</v>
      </c>
    </row>
    <row r="150" spans="1:13" x14ac:dyDescent="0.3">
      <c r="A150" t="s">
        <v>156</v>
      </c>
      <c r="B150" t="s">
        <v>1653</v>
      </c>
      <c r="C150" s="1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  <c r="K150" t="str">
        <f>TEXT(Table1[[#This Row],[PurchaseDate]],"mmm")</f>
        <v>May</v>
      </c>
      <c r="L150">
        <f>YEAR(Table1[[#This Row],[PurchaseDate]])</f>
        <v>2024</v>
      </c>
      <c r="M150" t="str">
        <f>IF(Table1[[#This Row],[TotalPrice]]&gt;2000,"High Sales","Low Sales")</f>
        <v>High Sales</v>
      </c>
    </row>
    <row r="151" spans="1:13" x14ac:dyDescent="0.3">
      <c r="A151" t="s">
        <v>157</v>
      </c>
      <c r="B151" t="s">
        <v>1656</v>
      </c>
      <c r="C151" s="1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  <c r="K151" t="str">
        <f>TEXT(Table1[[#This Row],[PurchaseDate]],"mmm")</f>
        <v>Feb</v>
      </c>
      <c r="L151">
        <f>YEAR(Table1[[#This Row],[PurchaseDate]])</f>
        <v>2025</v>
      </c>
      <c r="M151" t="str">
        <f>IF(Table1[[#This Row],[TotalPrice]]&gt;2000,"High Sales","Low Sales")</f>
        <v>Low Sales</v>
      </c>
    </row>
    <row r="152" spans="1:13" x14ac:dyDescent="0.3">
      <c r="A152" t="s">
        <v>158</v>
      </c>
      <c r="B152" t="s">
        <v>1652</v>
      </c>
      <c r="C152" s="1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  <c r="K152" t="str">
        <f>TEXT(Table1[[#This Row],[PurchaseDate]],"mmm")</f>
        <v>Mar</v>
      </c>
      <c r="L152">
        <f>YEAR(Table1[[#This Row],[PurchaseDate]])</f>
        <v>2023</v>
      </c>
      <c r="M152" t="str">
        <f>IF(Table1[[#This Row],[TotalPrice]]&gt;2000,"High Sales","Low Sales")</f>
        <v>High Sales</v>
      </c>
    </row>
    <row r="153" spans="1:13" x14ac:dyDescent="0.3">
      <c r="A153" t="s">
        <v>159</v>
      </c>
      <c r="B153" t="s">
        <v>1652</v>
      </c>
      <c r="C153" s="1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  <c r="K153" t="str">
        <f>TEXT(Table1[[#This Row],[PurchaseDate]],"mmm")</f>
        <v>Jun</v>
      </c>
      <c r="L153">
        <f>YEAR(Table1[[#This Row],[PurchaseDate]])</f>
        <v>2024</v>
      </c>
      <c r="M153" t="str">
        <f>IF(Table1[[#This Row],[TotalPrice]]&gt;2000,"High Sales","Low Sales")</f>
        <v>Low Sales</v>
      </c>
    </row>
    <row r="154" spans="1:13" x14ac:dyDescent="0.3">
      <c r="A154" t="s">
        <v>160</v>
      </c>
      <c r="B154" t="s">
        <v>1652</v>
      </c>
      <c r="C154" s="1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  <c r="K154" t="str">
        <f>TEXT(Table1[[#This Row],[PurchaseDate]],"mmm")</f>
        <v>Jan</v>
      </c>
      <c r="L154">
        <f>YEAR(Table1[[#This Row],[PurchaseDate]])</f>
        <v>2025</v>
      </c>
      <c r="M154" t="str">
        <f>IF(Table1[[#This Row],[TotalPrice]]&gt;2000,"High Sales","Low Sales")</f>
        <v>Low Sales</v>
      </c>
    </row>
    <row r="155" spans="1:13" x14ac:dyDescent="0.3">
      <c r="A155" t="s">
        <v>161</v>
      </c>
      <c r="B155" t="s">
        <v>1652</v>
      </c>
      <c r="C155" s="1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  <c r="K155" t="str">
        <f>TEXT(Table1[[#This Row],[PurchaseDate]],"mmm")</f>
        <v>Sep</v>
      </c>
      <c r="L155">
        <f>YEAR(Table1[[#This Row],[PurchaseDate]])</f>
        <v>2023</v>
      </c>
      <c r="M155" t="str">
        <f>IF(Table1[[#This Row],[TotalPrice]]&gt;2000,"High Sales","Low Sales")</f>
        <v>Low Sales</v>
      </c>
    </row>
    <row r="156" spans="1:13" x14ac:dyDescent="0.3">
      <c r="A156" t="s">
        <v>162</v>
      </c>
      <c r="B156" t="s">
        <v>1658</v>
      </c>
      <c r="C156" s="1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  <c r="K156" t="str">
        <f>TEXT(Table1[[#This Row],[PurchaseDate]],"mmm")</f>
        <v>Jan</v>
      </c>
      <c r="L156">
        <f>YEAR(Table1[[#This Row],[PurchaseDate]])</f>
        <v>2023</v>
      </c>
      <c r="M156" t="str">
        <f>IF(Table1[[#This Row],[TotalPrice]]&gt;2000,"High Sales","Low Sales")</f>
        <v>High Sales</v>
      </c>
    </row>
    <row r="157" spans="1:13" x14ac:dyDescent="0.3">
      <c r="A157" t="s">
        <v>163</v>
      </c>
      <c r="B157" t="s">
        <v>1655</v>
      </c>
      <c r="C157" s="1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  <c r="K157" t="str">
        <f>TEXT(Table1[[#This Row],[PurchaseDate]],"mmm")</f>
        <v>May</v>
      </c>
      <c r="L157">
        <f>YEAR(Table1[[#This Row],[PurchaseDate]])</f>
        <v>2025</v>
      </c>
      <c r="M157" t="str">
        <f>IF(Table1[[#This Row],[TotalPrice]]&gt;2000,"High Sales","Low Sales")</f>
        <v>High Sales</v>
      </c>
    </row>
    <row r="158" spans="1:13" x14ac:dyDescent="0.3">
      <c r="A158" t="s">
        <v>164</v>
      </c>
      <c r="B158" t="s">
        <v>1655</v>
      </c>
      <c r="C158" s="1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  <c r="K158" t="str">
        <f>TEXT(Table1[[#This Row],[PurchaseDate]],"mmm")</f>
        <v>Apr</v>
      </c>
      <c r="L158">
        <f>YEAR(Table1[[#This Row],[PurchaseDate]])</f>
        <v>2024</v>
      </c>
      <c r="M158" t="str">
        <f>IF(Table1[[#This Row],[TotalPrice]]&gt;2000,"High Sales","Low Sales")</f>
        <v>Low Sales</v>
      </c>
    </row>
    <row r="159" spans="1:13" x14ac:dyDescent="0.3">
      <c r="A159" t="s">
        <v>165</v>
      </c>
      <c r="B159" t="s">
        <v>1653</v>
      </c>
      <c r="C159" s="1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  <c r="K159" t="str">
        <f>TEXT(Table1[[#This Row],[PurchaseDate]],"mmm")</f>
        <v>Aug</v>
      </c>
      <c r="L159">
        <f>YEAR(Table1[[#This Row],[PurchaseDate]])</f>
        <v>2024</v>
      </c>
      <c r="M159" t="str">
        <f>IF(Table1[[#This Row],[TotalPrice]]&gt;2000,"High Sales","Low Sales")</f>
        <v>Low Sales</v>
      </c>
    </row>
    <row r="160" spans="1:13" x14ac:dyDescent="0.3">
      <c r="A160" t="s">
        <v>166</v>
      </c>
      <c r="B160" t="s">
        <v>1654</v>
      </c>
      <c r="C160" s="1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  <c r="K160" t="str">
        <f>TEXT(Table1[[#This Row],[PurchaseDate]],"mmm")</f>
        <v>Apr</v>
      </c>
      <c r="L160">
        <f>YEAR(Table1[[#This Row],[PurchaseDate]])</f>
        <v>2025</v>
      </c>
      <c r="M160" t="str">
        <f>IF(Table1[[#This Row],[TotalPrice]]&gt;2000,"High Sales","Low Sales")</f>
        <v>Low Sales</v>
      </c>
    </row>
    <row r="161" spans="1:13" x14ac:dyDescent="0.3">
      <c r="A161" t="s">
        <v>167</v>
      </c>
      <c r="B161" t="s">
        <v>1656</v>
      </c>
      <c r="C161" s="1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  <c r="K161" t="str">
        <f>TEXT(Table1[[#This Row],[PurchaseDate]],"mmm")</f>
        <v>Jun</v>
      </c>
      <c r="L161">
        <f>YEAR(Table1[[#This Row],[PurchaseDate]])</f>
        <v>2023</v>
      </c>
      <c r="M161" t="str">
        <f>IF(Table1[[#This Row],[TotalPrice]]&gt;2000,"High Sales","Low Sales")</f>
        <v>High Sales</v>
      </c>
    </row>
    <row r="162" spans="1:13" x14ac:dyDescent="0.3">
      <c r="A162" t="s">
        <v>168</v>
      </c>
      <c r="B162" t="s">
        <v>1653</v>
      </c>
      <c r="C162" s="1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  <c r="K162" t="str">
        <f>TEXT(Table1[[#This Row],[PurchaseDate]],"mmm")</f>
        <v>Sep</v>
      </c>
      <c r="L162">
        <f>YEAR(Table1[[#This Row],[PurchaseDate]])</f>
        <v>2024</v>
      </c>
      <c r="M162" t="str">
        <f>IF(Table1[[#This Row],[TotalPrice]]&gt;2000,"High Sales","Low Sales")</f>
        <v>High Sales</v>
      </c>
    </row>
    <row r="163" spans="1:13" x14ac:dyDescent="0.3">
      <c r="A163" t="s">
        <v>169</v>
      </c>
      <c r="B163" t="s">
        <v>1657</v>
      </c>
      <c r="C163" s="1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  <c r="K163" t="str">
        <f>TEXT(Table1[[#This Row],[PurchaseDate]],"mmm")</f>
        <v>Jun</v>
      </c>
      <c r="L163">
        <f>YEAR(Table1[[#This Row],[PurchaseDate]])</f>
        <v>2025</v>
      </c>
      <c r="M163" t="str">
        <f>IF(Table1[[#This Row],[TotalPrice]]&gt;2000,"High Sales","Low Sales")</f>
        <v>Low Sales</v>
      </c>
    </row>
    <row r="164" spans="1:13" x14ac:dyDescent="0.3">
      <c r="A164" t="s">
        <v>170</v>
      </c>
      <c r="B164" t="s">
        <v>1658</v>
      </c>
      <c r="C164" s="1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  <c r="K164" t="str">
        <f>TEXT(Table1[[#This Row],[PurchaseDate]],"mmm")</f>
        <v>Jul</v>
      </c>
      <c r="L164">
        <f>YEAR(Table1[[#This Row],[PurchaseDate]])</f>
        <v>2024</v>
      </c>
      <c r="M164" t="str">
        <f>IF(Table1[[#This Row],[TotalPrice]]&gt;2000,"High Sales","Low Sales")</f>
        <v>High Sales</v>
      </c>
    </row>
    <row r="165" spans="1:13" x14ac:dyDescent="0.3">
      <c r="A165" t="s">
        <v>171</v>
      </c>
      <c r="B165" t="s">
        <v>1652</v>
      </c>
      <c r="C165" s="1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  <c r="K165" t="str">
        <f>TEXT(Table1[[#This Row],[PurchaseDate]],"mmm")</f>
        <v>May</v>
      </c>
      <c r="L165">
        <f>YEAR(Table1[[#This Row],[PurchaseDate]])</f>
        <v>2025</v>
      </c>
      <c r="M165" t="str">
        <f>IF(Table1[[#This Row],[TotalPrice]]&gt;2000,"High Sales","Low Sales")</f>
        <v>High Sales</v>
      </c>
    </row>
    <row r="166" spans="1:13" x14ac:dyDescent="0.3">
      <c r="A166" t="s">
        <v>172</v>
      </c>
      <c r="B166" t="s">
        <v>1653</v>
      </c>
      <c r="C166" s="1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  <c r="K166" t="str">
        <f>TEXT(Table1[[#This Row],[PurchaseDate]],"mmm")</f>
        <v>May</v>
      </c>
      <c r="L166">
        <f>YEAR(Table1[[#This Row],[PurchaseDate]])</f>
        <v>2025</v>
      </c>
      <c r="M166" t="str">
        <f>IF(Table1[[#This Row],[TotalPrice]]&gt;2000,"High Sales","Low Sales")</f>
        <v>High Sales</v>
      </c>
    </row>
    <row r="167" spans="1:13" x14ac:dyDescent="0.3">
      <c r="A167" t="s">
        <v>173</v>
      </c>
      <c r="B167" t="s">
        <v>1655</v>
      </c>
      <c r="C167" s="1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  <c r="K167" t="str">
        <f>TEXT(Table1[[#This Row],[PurchaseDate]],"mmm")</f>
        <v>Aug</v>
      </c>
      <c r="L167">
        <f>YEAR(Table1[[#This Row],[PurchaseDate]])</f>
        <v>2023</v>
      </c>
      <c r="M167" t="str">
        <f>IF(Table1[[#This Row],[TotalPrice]]&gt;2000,"High Sales","Low Sales")</f>
        <v>High Sales</v>
      </c>
    </row>
    <row r="168" spans="1:13" x14ac:dyDescent="0.3">
      <c r="A168" t="s">
        <v>174</v>
      </c>
      <c r="B168" t="s">
        <v>1652</v>
      </c>
      <c r="C168" s="1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  <c r="K168" t="str">
        <f>TEXT(Table1[[#This Row],[PurchaseDate]],"mmm")</f>
        <v>Mar</v>
      </c>
      <c r="L168">
        <f>YEAR(Table1[[#This Row],[PurchaseDate]])</f>
        <v>2023</v>
      </c>
      <c r="M168" t="str">
        <f>IF(Table1[[#This Row],[TotalPrice]]&gt;2000,"High Sales","Low Sales")</f>
        <v>High Sales</v>
      </c>
    </row>
    <row r="169" spans="1:13" x14ac:dyDescent="0.3">
      <c r="A169" t="s">
        <v>175</v>
      </c>
      <c r="B169" t="s">
        <v>1657</v>
      </c>
      <c r="C169" s="1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  <c r="K169" t="str">
        <f>TEXT(Table1[[#This Row],[PurchaseDate]],"mmm")</f>
        <v>Aug</v>
      </c>
      <c r="L169">
        <f>YEAR(Table1[[#This Row],[PurchaseDate]])</f>
        <v>2024</v>
      </c>
      <c r="M169" t="str">
        <f>IF(Table1[[#This Row],[TotalPrice]]&gt;2000,"High Sales","Low Sales")</f>
        <v>Low Sales</v>
      </c>
    </row>
    <row r="170" spans="1:13" x14ac:dyDescent="0.3">
      <c r="A170" t="s">
        <v>176</v>
      </c>
      <c r="B170" t="s">
        <v>1657</v>
      </c>
      <c r="C170" s="1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  <c r="K170" t="str">
        <f>TEXT(Table1[[#This Row],[PurchaseDate]],"mmm")</f>
        <v>Jan</v>
      </c>
      <c r="L170">
        <f>YEAR(Table1[[#This Row],[PurchaseDate]])</f>
        <v>2023</v>
      </c>
      <c r="M170" t="str">
        <f>IF(Table1[[#This Row],[TotalPrice]]&gt;2000,"High Sales","Low Sales")</f>
        <v>Low Sales</v>
      </c>
    </row>
    <row r="171" spans="1:13" x14ac:dyDescent="0.3">
      <c r="A171" t="s">
        <v>177</v>
      </c>
      <c r="B171" t="s">
        <v>1656</v>
      </c>
      <c r="C171" s="1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  <c r="K171" t="str">
        <f>TEXT(Table1[[#This Row],[PurchaseDate]],"mmm")</f>
        <v>May</v>
      </c>
      <c r="L171">
        <f>YEAR(Table1[[#This Row],[PurchaseDate]])</f>
        <v>2023</v>
      </c>
      <c r="M171" t="str">
        <f>IF(Table1[[#This Row],[TotalPrice]]&gt;2000,"High Sales","Low Sales")</f>
        <v>High Sales</v>
      </c>
    </row>
    <row r="172" spans="1:13" x14ac:dyDescent="0.3">
      <c r="A172" t="s">
        <v>178</v>
      </c>
      <c r="B172" t="s">
        <v>1653</v>
      </c>
      <c r="C172" s="1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  <c r="K172" t="str">
        <f>TEXT(Table1[[#This Row],[PurchaseDate]],"mmm")</f>
        <v>Oct</v>
      </c>
      <c r="L172">
        <f>YEAR(Table1[[#This Row],[PurchaseDate]])</f>
        <v>2023</v>
      </c>
      <c r="M172" t="str">
        <f>IF(Table1[[#This Row],[TotalPrice]]&gt;2000,"High Sales","Low Sales")</f>
        <v>Low Sales</v>
      </c>
    </row>
    <row r="173" spans="1:13" x14ac:dyDescent="0.3">
      <c r="A173" t="s">
        <v>179</v>
      </c>
      <c r="B173" t="s">
        <v>1656</v>
      </c>
      <c r="C173" s="1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  <c r="K173" t="str">
        <f>TEXT(Table1[[#This Row],[PurchaseDate]],"mmm")</f>
        <v>Jan</v>
      </c>
      <c r="L173">
        <f>YEAR(Table1[[#This Row],[PurchaseDate]])</f>
        <v>2025</v>
      </c>
      <c r="M173" t="str">
        <f>IF(Table1[[#This Row],[TotalPrice]]&gt;2000,"High Sales","Low Sales")</f>
        <v>High Sales</v>
      </c>
    </row>
    <row r="174" spans="1:13" x14ac:dyDescent="0.3">
      <c r="A174" t="s">
        <v>180</v>
      </c>
      <c r="B174" t="s">
        <v>1658</v>
      </c>
      <c r="C174" s="1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  <c r="K174" t="str">
        <f>TEXT(Table1[[#This Row],[PurchaseDate]],"mmm")</f>
        <v>Mar</v>
      </c>
      <c r="L174">
        <f>YEAR(Table1[[#This Row],[PurchaseDate]])</f>
        <v>2023</v>
      </c>
      <c r="M174" t="str">
        <f>IF(Table1[[#This Row],[TotalPrice]]&gt;2000,"High Sales","Low Sales")</f>
        <v>Low Sales</v>
      </c>
    </row>
    <row r="175" spans="1:13" x14ac:dyDescent="0.3">
      <c r="A175" t="s">
        <v>181</v>
      </c>
      <c r="B175" t="s">
        <v>1653</v>
      </c>
      <c r="C175" s="1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  <c r="K175" t="str">
        <f>TEXT(Table1[[#This Row],[PurchaseDate]],"mmm")</f>
        <v>Feb</v>
      </c>
      <c r="L175">
        <f>YEAR(Table1[[#This Row],[PurchaseDate]])</f>
        <v>2024</v>
      </c>
      <c r="M175" t="str">
        <f>IF(Table1[[#This Row],[TotalPrice]]&gt;2000,"High Sales","Low Sales")</f>
        <v>Low Sales</v>
      </c>
    </row>
    <row r="176" spans="1:13" x14ac:dyDescent="0.3">
      <c r="A176" t="s">
        <v>182</v>
      </c>
      <c r="B176" t="s">
        <v>1654</v>
      </c>
      <c r="C176" s="1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  <c r="K176" t="str">
        <f>TEXT(Table1[[#This Row],[PurchaseDate]],"mmm")</f>
        <v>Jun</v>
      </c>
      <c r="L176">
        <f>YEAR(Table1[[#This Row],[PurchaseDate]])</f>
        <v>2025</v>
      </c>
      <c r="M176" t="str">
        <f>IF(Table1[[#This Row],[TotalPrice]]&gt;2000,"High Sales","Low Sales")</f>
        <v>Low Sales</v>
      </c>
    </row>
    <row r="177" spans="1:13" x14ac:dyDescent="0.3">
      <c r="A177" t="s">
        <v>183</v>
      </c>
      <c r="B177" t="s">
        <v>1653</v>
      </c>
      <c r="C177" s="1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  <c r="K177" t="str">
        <f>TEXT(Table1[[#This Row],[PurchaseDate]],"mmm")</f>
        <v>Jul</v>
      </c>
      <c r="L177">
        <f>YEAR(Table1[[#This Row],[PurchaseDate]])</f>
        <v>2024</v>
      </c>
      <c r="M177" t="str">
        <f>IF(Table1[[#This Row],[TotalPrice]]&gt;2000,"High Sales","Low Sales")</f>
        <v>Low Sales</v>
      </c>
    </row>
    <row r="178" spans="1:13" x14ac:dyDescent="0.3">
      <c r="A178" t="s">
        <v>184</v>
      </c>
      <c r="B178" t="s">
        <v>1658</v>
      </c>
      <c r="C178" s="1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  <c r="K178" t="str">
        <f>TEXT(Table1[[#This Row],[PurchaseDate]],"mmm")</f>
        <v>Nov</v>
      </c>
      <c r="L178">
        <f>YEAR(Table1[[#This Row],[PurchaseDate]])</f>
        <v>2024</v>
      </c>
      <c r="M178" t="str">
        <f>IF(Table1[[#This Row],[TotalPrice]]&gt;2000,"High Sales","Low Sales")</f>
        <v>Low Sales</v>
      </c>
    </row>
    <row r="179" spans="1:13" x14ac:dyDescent="0.3">
      <c r="A179" t="s">
        <v>185</v>
      </c>
      <c r="B179" t="s">
        <v>1657</v>
      </c>
      <c r="C179" s="1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  <c r="K179" t="str">
        <f>TEXT(Table1[[#This Row],[PurchaseDate]],"mmm")</f>
        <v>Apr</v>
      </c>
      <c r="L179">
        <f>YEAR(Table1[[#This Row],[PurchaseDate]])</f>
        <v>2024</v>
      </c>
      <c r="M179" t="str">
        <f>IF(Table1[[#This Row],[TotalPrice]]&gt;2000,"High Sales","Low Sales")</f>
        <v>Low Sales</v>
      </c>
    </row>
    <row r="180" spans="1:13" x14ac:dyDescent="0.3">
      <c r="A180" t="s">
        <v>186</v>
      </c>
      <c r="B180" t="s">
        <v>1652</v>
      </c>
      <c r="C180" s="1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  <c r="K180" t="str">
        <f>TEXT(Table1[[#This Row],[PurchaseDate]],"mmm")</f>
        <v>Jun</v>
      </c>
      <c r="L180">
        <f>YEAR(Table1[[#This Row],[PurchaseDate]])</f>
        <v>2025</v>
      </c>
      <c r="M180" t="str">
        <f>IF(Table1[[#This Row],[TotalPrice]]&gt;2000,"High Sales","Low Sales")</f>
        <v>Low Sales</v>
      </c>
    </row>
    <row r="181" spans="1:13" x14ac:dyDescent="0.3">
      <c r="A181" t="s">
        <v>187</v>
      </c>
      <c r="B181" t="s">
        <v>1654</v>
      </c>
      <c r="C181" s="1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  <c r="K181" t="str">
        <f>TEXT(Table1[[#This Row],[PurchaseDate]],"mmm")</f>
        <v>Jan</v>
      </c>
      <c r="L181">
        <f>YEAR(Table1[[#This Row],[PurchaseDate]])</f>
        <v>2024</v>
      </c>
      <c r="M181" t="str">
        <f>IF(Table1[[#This Row],[TotalPrice]]&gt;2000,"High Sales","Low Sales")</f>
        <v>High Sales</v>
      </c>
    </row>
    <row r="182" spans="1:13" x14ac:dyDescent="0.3">
      <c r="A182" t="s">
        <v>188</v>
      </c>
      <c r="B182" t="s">
        <v>1655</v>
      </c>
      <c r="C182" s="1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  <c r="K182" t="str">
        <f>TEXT(Table1[[#This Row],[PurchaseDate]],"mmm")</f>
        <v>Apr</v>
      </c>
      <c r="L182">
        <f>YEAR(Table1[[#This Row],[PurchaseDate]])</f>
        <v>2024</v>
      </c>
      <c r="M182" t="str">
        <f>IF(Table1[[#This Row],[TotalPrice]]&gt;2000,"High Sales","Low Sales")</f>
        <v>Low Sales</v>
      </c>
    </row>
    <row r="183" spans="1:13" x14ac:dyDescent="0.3">
      <c r="A183" t="s">
        <v>189</v>
      </c>
      <c r="B183" t="s">
        <v>1655</v>
      </c>
      <c r="C183" s="1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  <c r="K183" t="str">
        <f>TEXT(Table1[[#This Row],[PurchaseDate]],"mmm")</f>
        <v>Mar</v>
      </c>
      <c r="L183">
        <f>YEAR(Table1[[#This Row],[PurchaseDate]])</f>
        <v>2025</v>
      </c>
      <c r="M183" t="str">
        <f>IF(Table1[[#This Row],[TotalPrice]]&gt;2000,"High Sales","Low Sales")</f>
        <v>High Sales</v>
      </c>
    </row>
    <row r="184" spans="1:13" x14ac:dyDescent="0.3">
      <c r="A184" t="s">
        <v>190</v>
      </c>
      <c r="B184" t="s">
        <v>1655</v>
      </c>
      <c r="C184" s="1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  <c r="K184" t="str">
        <f>TEXT(Table1[[#This Row],[PurchaseDate]],"mmm")</f>
        <v>Jun</v>
      </c>
      <c r="L184">
        <f>YEAR(Table1[[#This Row],[PurchaseDate]])</f>
        <v>2024</v>
      </c>
      <c r="M184" t="str">
        <f>IF(Table1[[#This Row],[TotalPrice]]&gt;2000,"High Sales","Low Sales")</f>
        <v>High Sales</v>
      </c>
    </row>
    <row r="185" spans="1:13" x14ac:dyDescent="0.3">
      <c r="A185" t="s">
        <v>191</v>
      </c>
      <c r="B185" t="s">
        <v>1658</v>
      </c>
      <c r="C185" s="1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  <c r="K185" t="str">
        <f>TEXT(Table1[[#This Row],[PurchaseDate]],"mmm")</f>
        <v>Jun</v>
      </c>
      <c r="L185">
        <f>YEAR(Table1[[#This Row],[PurchaseDate]])</f>
        <v>2023</v>
      </c>
      <c r="M185" t="str">
        <f>IF(Table1[[#This Row],[TotalPrice]]&gt;2000,"High Sales","Low Sales")</f>
        <v>High Sales</v>
      </c>
    </row>
    <row r="186" spans="1:13" x14ac:dyDescent="0.3">
      <c r="A186" t="s">
        <v>192</v>
      </c>
      <c r="B186" t="s">
        <v>1658</v>
      </c>
      <c r="C186" s="1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  <c r="K186" t="str">
        <f>TEXT(Table1[[#This Row],[PurchaseDate]],"mmm")</f>
        <v>Aug</v>
      </c>
      <c r="L186">
        <f>YEAR(Table1[[#This Row],[PurchaseDate]])</f>
        <v>2023</v>
      </c>
      <c r="M186" t="str">
        <f>IF(Table1[[#This Row],[TotalPrice]]&gt;2000,"High Sales","Low Sales")</f>
        <v>High Sales</v>
      </c>
    </row>
    <row r="187" spans="1:13" x14ac:dyDescent="0.3">
      <c r="A187" t="s">
        <v>193</v>
      </c>
      <c r="B187" t="s">
        <v>1658</v>
      </c>
      <c r="C187" s="1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  <c r="K187" t="str">
        <f>TEXT(Table1[[#This Row],[PurchaseDate]],"mmm")</f>
        <v>Dec</v>
      </c>
      <c r="L187">
        <f>YEAR(Table1[[#This Row],[PurchaseDate]])</f>
        <v>2024</v>
      </c>
      <c r="M187" t="str">
        <f>IF(Table1[[#This Row],[TotalPrice]]&gt;2000,"High Sales","Low Sales")</f>
        <v>Low Sales</v>
      </c>
    </row>
    <row r="188" spans="1:13" x14ac:dyDescent="0.3">
      <c r="A188" t="s">
        <v>194</v>
      </c>
      <c r="B188" t="s">
        <v>1655</v>
      </c>
      <c r="C188" s="1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  <c r="K188" t="str">
        <f>TEXT(Table1[[#This Row],[PurchaseDate]],"mmm")</f>
        <v>Mar</v>
      </c>
      <c r="L188">
        <f>YEAR(Table1[[#This Row],[PurchaseDate]])</f>
        <v>2023</v>
      </c>
      <c r="M188" t="str">
        <f>IF(Table1[[#This Row],[TotalPrice]]&gt;2000,"High Sales","Low Sales")</f>
        <v>Low Sales</v>
      </c>
    </row>
    <row r="189" spans="1:13" x14ac:dyDescent="0.3">
      <c r="A189" t="s">
        <v>195</v>
      </c>
      <c r="B189" t="s">
        <v>1653</v>
      </c>
      <c r="C189" s="1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  <c r="K189" t="str">
        <f>TEXT(Table1[[#This Row],[PurchaseDate]],"mmm")</f>
        <v>Jun</v>
      </c>
      <c r="L189">
        <f>YEAR(Table1[[#This Row],[PurchaseDate]])</f>
        <v>2023</v>
      </c>
      <c r="M189" t="str">
        <f>IF(Table1[[#This Row],[TotalPrice]]&gt;2000,"High Sales","Low Sales")</f>
        <v>Low Sales</v>
      </c>
    </row>
    <row r="190" spans="1:13" x14ac:dyDescent="0.3">
      <c r="A190" t="s">
        <v>196</v>
      </c>
      <c r="B190" t="s">
        <v>1652</v>
      </c>
      <c r="C190" s="1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  <c r="K190" t="str">
        <f>TEXT(Table1[[#This Row],[PurchaseDate]],"mmm")</f>
        <v>Apr</v>
      </c>
      <c r="L190">
        <f>YEAR(Table1[[#This Row],[PurchaseDate]])</f>
        <v>2025</v>
      </c>
      <c r="M190" t="str">
        <f>IF(Table1[[#This Row],[TotalPrice]]&gt;2000,"High Sales","Low Sales")</f>
        <v>High Sales</v>
      </c>
    </row>
    <row r="191" spans="1:13" x14ac:dyDescent="0.3">
      <c r="A191" t="s">
        <v>197</v>
      </c>
      <c r="B191" t="s">
        <v>1658</v>
      </c>
      <c r="C191" s="1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  <c r="K191" t="str">
        <f>TEXT(Table1[[#This Row],[PurchaseDate]],"mmm")</f>
        <v>Jul</v>
      </c>
      <c r="L191">
        <f>YEAR(Table1[[#This Row],[PurchaseDate]])</f>
        <v>2023</v>
      </c>
      <c r="M191" t="str">
        <f>IF(Table1[[#This Row],[TotalPrice]]&gt;2000,"High Sales","Low Sales")</f>
        <v>Low Sales</v>
      </c>
    </row>
    <row r="192" spans="1:13" x14ac:dyDescent="0.3">
      <c r="A192" t="s">
        <v>198</v>
      </c>
      <c r="B192" t="s">
        <v>1655</v>
      </c>
      <c r="C192" s="1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  <c r="K192" t="str">
        <f>TEXT(Table1[[#This Row],[PurchaseDate]],"mmm")</f>
        <v>May</v>
      </c>
      <c r="L192">
        <f>YEAR(Table1[[#This Row],[PurchaseDate]])</f>
        <v>2024</v>
      </c>
      <c r="M192" t="str">
        <f>IF(Table1[[#This Row],[TotalPrice]]&gt;2000,"High Sales","Low Sales")</f>
        <v>Low Sales</v>
      </c>
    </row>
    <row r="193" spans="1:13" x14ac:dyDescent="0.3">
      <c r="A193" t="s">
        <v>199</v>
      </c>
      <c r="B193" t="s">
        <v>1655</v>
      </c>
      <c r="C193" s="1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  <c r="K193" t="str">
        <f>TEXT(Table1[[#This Row],[PurchaseDate]],"mmm")</f>
        <v>Oct</v>
      </c>
      <c r="L193">
        <f>YEAR(Table1[[#This Row],[PurchaseDate]])</f>
        <v>2024</v>
      </c>
      <c r="M193" t="str">
        <f>IF(Table1[[#This Row],[TotalPrice]]&gt;2000,"High Sales","Low Sales")</f>
        <v>High Sales</v>
      </c>
    </row>
    <row r="194" spans="1:13" x14ac:dyDescent="0.3">
      <c r="A194" t="s">
        <v>200</v>
      </c>
      <c r="B194" t="s">
        <v>1655</v>
      </c>
      <c r="C194" s="1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  <c r="K194" t="str">
        <f>TEXT(Table1[[#This Row],[PurchaseDate]],"mmm")</f>
        <v>Sep</v>
      </c>
      <c r="L194">
        <f>YEAR(Table1[[#This Row],[PurchaseDate]])</f>
        <v>2024</v>
      </c>
      <c r="M194" t="str">
        <f>IF(Table1[[#This Row],[TotalPrice]]&gt;2000,"High Sales","Low Sales")</f>
        <v>High Sales</v>
      </c>
    </row>
    <row r="195" spans="1:13" x14ac:dyDescent="0.3">
      <c r="A195" t="s">
        <v>201</v>
      </c>
      <c r="B195" t="s">
        <v>1654</v>
      </c>
      <c r="C195" s="1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  <c r="K195" t="str">
        <f>TEXT(Table1[[#This Row],[PurchaseDate]],"mmm")</f>
        <v>Jul</v>
      </c>
      <c r="L195">
        <f>YEAR(Table1[[#This Row],[PurchaseDate]])</f>
        <v>2023</v>
      </c>
      <c r="M195" t="str">
        <f>IF(Table1[[#This Row],[TotalPrice]]&gt;2000,"High Sales","Low Sales")</f>
        <v>Low Sales</v>
      </c>
    </row>
    <row r="196" spans="1:13" x14ac:dyDescent="0.3">
      <c r="A196" t="s">
        <v>202</v>
      </c>
      <c r="B196" t="s">
        <v>1652</v>
      </c>
      <c r="C196" s="1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  <c r="K196" t="str">
        <f>TEXT(Table1[[#This Row],[PurchaseDate]],"mmm")</f>
        <v>Nov</v>
      </c>
      <c r="L196">
        <f>YEAR(Table1[[#This Row],[PurchaseDate]])</f>
        <v>2024</v>
      </c>
      <c r="M196" t="str">
        <f>IF(Table1[[#This Row],[TotalPrice]]&gt;2000,"High Sales","Low Sales")</f>
        <v>High Sales</v>
      </c>
    </row>
    <row r="197" spans="1:13" x14ac:dyDescent="0.3">
      <c r="A197" t="s">
        <v>203</v>
      </c>
      <c r="B197" t="s">
        <v>1658</v>
      </c>
      <c r="C197" s="1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  <c r="K197" t="str">
        <f>TEXT(Table1[[#This Row],[PurchaseDate]],"mmm")</f>
        <v>Dec</v>
      </c>
      <c r="L197">
        <f>YEAR(Table1[[#This Row],[PurchaseDate]])</f>
        <v>2023</v>
      </c>
      <c r="M197" t="str">
        <f>IF(Table1[[#This Row],[TotalPrice]]&gt;2000,"High Sales","Low Sales")</f>
        <v>Low Sales</v>
      </c>
    </row>
    <row r="198" spans="1:13" x14ac:dyDescent="0.3">
      <c r="A198" t="s">
        <v>204</v>
      </c>
      <c r="B198" t="s">
        <v>1657</v>
      </c>
      <c r="C198" s="1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  <c r="K198" t="str">
        <f>TEXT(Table1[[#This Row],[PurchaseDate]],"mmm")</f>
        <v>Aug</v>
      </c>
      <c r="L198">
        <f>YEAR(Table1[[#This Row],[PurchaseDate]])</f>
        <v>2023</v>
      </c>
      <c r="M198" t="str">
        <f>IF(Table1[[#This Row],[TotalPrice]]&gt;2000,"High Sales","Low Sales")</f>
        <v>Low Sales</v>
      </c>
    </row>
    <row r="199" spans="1:13" x14ac:dyDescent="0.3">
      <c r="A199" t="s">
        <v>205</v>
      </c>
      <c r="B199" t="s">
        <v>1657</v>
      </c>
      <c r="C199" s="1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  <c r="K199" t="str">
        <f>TEXT(Table1[[#This Row],[PurchaseDate]],"mmm")</f>
        <v>May</v>
      </c>
      <c r="L199">
        <f>YEAR(Table1[[#This Row],[PurchaseDate]])</f>
        <v>2024</v>
      </c>
      <c r="M199" t="str">
        <f>IF(Table1[[#This Row],[TotalPrice]]&gt;2000,"High Sales","Low Sales")</f>
        <v>Low Sales</v>
      </c>
    </row>
    <row r="200" spans="1:13" x14ac:dyDescent="0.3">
      <c r="A200" t="s">
        <v>206</v>
      </c>
      <c r="B200" t="s">
        <v>1658</v>
      </c>
      <c r="C200" s="1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  <c r="K200" t="str">
        <f>TEXT(Table1[[#This Row],[PurchaseDate]],"mmm")</f>
        <v>Mar</v>
      </c>
      <c r="L200">
        <f>YEAR(Table1[[#This Row],[PurchaseDate]])</f>
        <v>2025</v>
      </c>
      <c r="M200" t="str">
        <f>IF(Table1[[#This Row],[TotalPrice]]&gt;2000,"High Sales","Low Sales")</f>
        <v>Low Sales</v>
      </c>
    </row>
    <row r="201" spans="1:13" x14ac:dyDescent="0.3">
      <c r="A201" t="s">
        <v>207</v>
      </c>
      <c r="B201" t="s">
        <v>1656</v>
      </c>
      <c r="C201" s="1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  <c r="K201" t="str">
        <f>TEXT(Table1[[#This Row],[PurchaseDate]],"mmm")</f>
        <v>Aug</v>
      </c>
      <c r="L201">
        <f>YEAR(Table1[[#This Row],[PurchaseDate]])</f>
        <v>2024</v>
      </c>
      <c r="M201" t="str">
        <f>IF(Table1[[#This Row],[TotalPrice]]&gt;2000,"High Sales","Low Sales")</f>
        <v>Low Sales</v>
      </c>
    </row>
    <row r="202" spans="1:13" x14ac:dyDescent="0.3">
      <c r="A202" t="s">
        <v>208</v>
      </c>
      <c r="B202" t="s">
        <v>1655</v>
      </c>
      <c r="C202" s="1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  <c r="K202" t="str">
        <f>TEXT(Table1[[#This Row],[PurchaseDate]],"mmm")</f>
        <v>Dec</v>
      </c>
      <c r="L202">
        <f>YEAR(Table1[[#This Row],[PurchaseDate]])</f>
        <v>2024</v>
      </c>
      <c r="M202" t="str">
        <f>IF(Table1[[#This Row],[TotalPrice]]&gt;2000,"High Sales","Low Sales")</f>
        <v>Low Sales</v>
      </c>
    </row>
    <row r="203" spans="1:13" x14ac:dyDescent="0.3">
      <c r="A203" t="s">
        <v>209</v>
      </c>
      <c r="B203" t="s">
        <v>1657</v>
      </c>
      <c r="C203" s="1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  <c r="K203" t="str">
        <f>TEXT(Table1[[#This Row],[PurchaseDate]],"mmm")</f>
        <v>Mar</v>
      </c>
      <c r="L203">
        <f>YEAR(Table1[[#This Row],[PurchaseDate]])</f>
        <v>2025</v>
      </c>
      <c r="M203" t="str">
        <f>IF(Table1[[#This Row],[TotalPrice]]&gt;2000,"High Sales","Low Sales")</f>
        <v>High Sales</v>
      </c>
    </row>
    <row r="204" spans="1:13" x14ac:dyDescent="0.3">
      <c r="A204" t="s">
        <v>210</v>
      </c>
      <c r="B204" t="s">
        <v>1652</v>
      </c>
      <c r="C204" s="1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  <c r="K204" t="str">
        <f>TEXT(Table1[[#This Row],[PurchaseDate]],"mmm")</f>
        <v>Dec</v>
      </c>
      <c r="L204">
        <f>YEAR(Table1[[#This Row],[PurchaseDate]])</f>
        <v>2024</v>
      </c>
      <c r="M204" t="str">
        <f>IF(Table1[[#This Row],[TotalPrice]]&gt;2000,"High Sales","Low Sales")</f>
        <v>Low Sales</v>
      </c>
    </row>
    <row r="205" spans="1:13" x14ac:dyDescent="0.3">
      <c r="A205" t="s">
        <v>211</v>
      </c>
      <c r="B205" t="s">
        <v>1654</v>
      </c>
      <c r="C205" s="1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  <c r="K205" t="str">
        <f>TEXT(Table1[[#This Row],[PurchaseDate]],"mmm")</f>
        <v>Jul</v>
      </c>
      <c r="L205">
        <f>YEAR(Table1[[#This Row],[PurchaseDate]])</f>
        <v>2024</v>
      </c>
      <c r="M205" t="str">
        <f>IF(Table1[[#This Row],[TotalPrice]]&gt;2000,"High Sales","Low Sales")</f>
        <v>Low Sales</v>
      </c>
    </row>
    <row r="206" spans="1:13" x14ac:dyDescent="0.3">
      <c r="A206" t="s">
        <v>212</v>
      </c>
      <c r="B206" t="s">
        <v>1657</v>
      </c>
      <c r="C206" s="1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  <c r="K206" t="str">
        <f>TEXT(Table1[[#This Row],[PurchaseDate]],"mmm")</f>
        <v>May</v>
      </c>
      <c r="L206">
        <f>YEAR(Table1[[#This Row],[PurchaseDate]])</f>
        <v>2025</v>
      </c>
      <c r="M206" t="str">
        <f>IF(Table1[[#This Row],[TotalPrice]]&gt;2000,"High Sales","Low Sales")</f>
        <v>High Sales</v>
      </c>
    </row>
    <row r="207" spans="1:13" x14ac:dyDescent="0.3">
      <c r="A207" t="s">
        <v>213</v>
      </c>
      <c r="B207" t="s">
        <v>1655</v>
      </c>
      <c r="C207" s="1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  <c r="K207" t="str">
        <f>TEXT(Table1[[#This Row],[PurchaseDate]],"mmm")</f>
        <v>Apr</v>
      </c>
      <c r="L207">
        <f>YEAR(Table1[[#This Row],[PurchaseDate]])</f>
        <v>2023</v>
      </c>
      <c r="M207" t="str">
        <f>IF(Table1[[#This Row],[TotalPrice]]&gt;2000,"High Sales","Low Sales")</f>
        <v>Low Sales</v>
      </c>
    </row>
    <row r="208" spans="1:13" x14ac:dyDescent="0.3">
      <c r="A208" t="s">
        <v>82</v>
      </c>
      <c r="B208" t="s">
        <v>1653</v>
      </c>
      <c r="C208" s="1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  <c r="K208" t="str">
        <f>TEXT(Table1[[#This Row],[PurchaseDate]],"mmm")</f>
        <v>Mar</v>
      </c>
      <c r="L208">
        <f>YEAR(Table1[[#This Row],[PurchaseDate]])</f>
        <v>2023</v>
      </c>
      <c r="M208" t="str">
        <f>IF(Table1[[#This Row],[TotalPrice]]&gt;2000,"High Sales","Low Sales")</f>
        <v>High Sales</v>
      </c>
    </row>
    <row r="209" spans="1:13" x14ac:dyDescent="0.3">
      <c r="A209" t="s">
        <v>214</v>
      </c>
      <c r="B209" t="s">
        <v>1653</v>
      </c>
      <c r="C209" s="1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  <c r="K209" t="str">
        <f>TEXT(Table1[[#This Row],[PurchaseDate]],"mmm")</f>
        <v>Mar</v>
      </c>
      <c r="L209">
        <f>YEAR(Table1[[#This Row],[PurchaseDate]])</f>
        <v>2024</v>
      </c>
      <c r="M209" t="str">
        <f>IF(Table1[[#This Row],[TotalPrice]]&gt;2000,"High Sales","Low Sales")</f>
        <v>Low Sales</v>
      </c>
    </row>
    <row r="210" spans="1:13" x14ac:dyDescent="0.3">
      <c r="A210" t="s">
        <v>215</v>
      </c>
      <c r="B210" t="s">
        <v>1657</v>
      </c>
      <c r="C210" s="1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  <c r="K210" t="str">
        <f>TEXT(Table1[[#This Row],[PurchaseDate]],"mmm")</f>
        <v>Dec</v>
      </c>
      <c r="L210">
        <f>YEAR(Table1[[#This Row],[PurchaseDate]])</f>
        <v>2024</v>
      </c>
      <c r="M210" t="str">
        <f>IF(Table1[[#This Row],[TotalPrice]]&gt;2000,"High Sales","Low Sales")</f>
        <v>High Sales</v>
      </c>
    </row>
    <row r="211" spans="1:13" x14ac:dyDescent="0.3">
      <c r="A211" t="s">
        <v>216</v>
      </c>
      <c r="B211" t="s">
        <v>1656</v>
      </c>
      <c r="C211" s="1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  <c r="K211" t="str">
        <f>TEXT(Table1[[#This Row],[PurchaseDate]],"mmm")</f>
        <v>Mar</v>
      </c>
      <c r="L211">
        <f>YEAR(Table1[[#This Row],[PurchaseDate]])</f>
        <v>2025</v>
      </c>
      <c r="M211" t="str">
        <f>IF(Table1[[#This Row],[TotalPrice]]&gt;2000,"High Sales","Low Sales")</f>
        <v>High Sales</v>
      </c>
    </row>
    <row r="212" spans="1:13" x14ac:dyDescent="0.3">
      <c r="A212" t="s">
        <v>217</v>
      </c>
      <c r="B212" t="s">
        <v>1657</v>
      </c>
      <c r="C212" s="1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  <c r="K212" t="str">
        <f>TEXT(Table1[[#This Row],[PurchaseDate]],"mmm")</f>
        <v>Sep</v>
      </c>
      <c r="L212">
        <f>YEAR(Table1[[#This Row],[PurchaseDate]])</f>
        <v>2023</v>
      </c>
      <c r="M212" t="str">
        <f>IF(Table1[[#This Row],[TotalPrice]]&gt;2000,"High Sales","Low Sales")</f>
        <v>Low Sales</v>
      </c>
    </row>
    <row r="213" spans="1:13" x14ac:dyDescent="0.3">
      <c r="A213" t="s">
        <v>218</v>
      </c>
      <c r="B213" t="s">
        <v>1654</v>
      </c>
      <c r="C213" s="1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  <c r="K213" t="str">
        <f>TEXT(Table1[[#This Row],[PurchaseDate]],"mmm")</f>
        <v>Aug</v>
      </c>
      <c r="L213">
        <f>YEAR(Table1[[#This Row],[PurchaseDate]])</f>
        <v>2024</v>
      </c>
      <c r="M213" t="str">
        <f>IF(Table1[[#This Row],[TotalPrice]]&gt;2000,"High Sales","Low Sales")</f>
        <v>High Sales</v>
      </c>
    </row>
    <row r="214" spans="1:13" x14ac:dyDescent="0.3">
      <c r="A214" t="s">
        <v>219</v>
      </c>
      <c r="B214" t="s">
        <v>1653</v>
      </c>
      <c r="C214" s="1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  <c r="K214" t="str">
        <f>TEXT(Table1[[#This Row],[PurchaseDate]],"mmm")</f>
        <v>Jul</v>
      </c>
      <c r="L214">
        <f>YEAR(Table1[[#This Row],[PurchaseDate]])</f>
        <v>2024</v>
      </c>
      <c r="M214" t="str">
        <f>IF(Table1[[#This Row],[TotalPrice]]&gt;2000,"High Sales","Low Sales")</f>
        <v>Low Sales</v>
      </c>
    </row>
    <row r="215" spans="1:13" x14ac:dyDescent="0.3">
      <c r="A215" t="s">
        <v>220</v>
      </c>
      <c r="B215" t="s">
        <v>1652</v>
      </c>
      <c r="C215" s="1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  <c r="K215" t="str">
        <f>TEXT(Table1[[#This Row],[PurchaseDate]],"mmm")</f>
        <v>Jan</v>
      </c>
      <c r="L215">
        <f>YEAR(Table1[[#This Row],[PurchaseDate]])</f>
        <v>2024</v>
      </c>
      <c r="M215" t="str">
        <f>IF(Table1[[#This Row],[TotalPrice]]&gt;2000,"High Sales","Low Sales")</f>
        <v>High Sales</v>
      </c>
    </row>
    <row r="216" spans="1:13" x14ac:dyDescent="0.3">
      <c r="A216" t="s">
        <v>221</v>
      </c>
      <c r="B216" t="s">
        <v>1657</v>
      </c>
      <c r="C216" s="1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  <c r="K216" t="str">
        <f>TEXT(Table1[[#This Row],[PurchaseDate]],"mmm")</f>
        <v>Sep</v>
      </c>
      <c r="L216">
        <f>YEAR(Table1[[#This Row],[PurchaseDate]])</f>
        <v>2023</v>
      </c>
      <c r="M216" t="str">
        <f>IF(Table1[[#This Row],[TotalPrice]]&gt;2000,"High Sales","Low Sales")</f>
        <v>Low Sales</v>
      </c>
    </row>
    <row r="217" spans="1:13" x14ac:dyDescent="0.3">
      <c r="A217" t="s">
        <v>222</v>
      </c>
      <c r="B217" t="s">
        <v>1658</v>
      </c>
      <c r="C217" s="1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  <c r="K217" t="str">
        <f>TEXT(Table1[[#This Row],[PurchaseDate]],"mmm")</f>
        <v>May</v>
      </c>
      <c r="L217">
        <f>YEAR(Table1[[#This Row],[PurchaseDate]])</f>
        <v>2023</v>
      </c>
      <c r="M217" t="str">
        <f>IF(Table1[[#This Row],[TotalPrice]]&gt;2000,"High Sales","Low Sales")</f>
        <v>High Sales</v>
      </c>
    </row>
    <row r="218" spans="1:13" x14ac:dyDescent="0.3">
      <c r="A218" t="s">
        <v>223</v>
      </c>
      <c r="B218" t="s">
        <v>1656</v>
      </c>
      <c r="C218" s="1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  <c r="K218" t="str">
        <f>TEXT(Table1[[#This Row],[PurchaseDate]],"mmm")</f>
        <v>Mar</v>
      </c>
      <c r="L218">
        <f>YEAR(Table1[[#This Row],[PurchaseDate]])</f>
        <v>2025</v>
      </c>
      <c r="M218" t="str">
        <f>IF(Table1[[#This Row],[TotalPrice]]&gt;2000,"High Sales","Low Sales")</f>
        <v>Low Sales</v>
      </c>
    </row>
    <row r="219" spans="1:13" x14ac:dyDescent="0.3">
      <c r="A219" t="s">
        <v>224</v>
      </c>
      <c r="B219" t="s">
        <v>1652</v>
      </c>
      <c r="C219" s="1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  <c r="K219" t="str">
        <f>TEXT(Table1[[#This Row],[PurchaseDate]],"mmm")</f>
        <v>May</v>
      </c>
      <c r="L219">
        <f>YEAR(Table1[[#This Row],[PurchaseDate]])</f>
        <v>2023</v>
      </c>
      <c r="M219" t="str">
        <f>IF(Table1[[#This Row],[TotalPrice]]&gt;2000,"High Sales","Low Sales")</f>
        <v>Low Sales</v>
      </c>
    </row>
    <row r="220" spans="1:13" x14ac:dyDescent="0.3">
      <c r="A220" t="s">
        <v>225</v>
      </c>
      <c r="B220" t="s">
        <v>1654</v>
      </c>
      <c r="C220" s="1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  <c r="K220" t="str">
        <f>TEXT(Table1[[#This Row],[PurchaseDate]],"mmm")</f>
        <v>May</v>
      </c>
      <c r="L220">
        <f>YEAR(Table1[[#This Row],[PurchaseDate]])</f>
        <v>2023</v>
      </c>
      <c r="M220" t="str">
        <f>IF(Table1[[#This Row],[TotalPrice]]&gt;2000,"High Sales","Low Sales")</f>
        <v>Low Sales</v>
      </c>
    </row>
    <row r="221" spans="1:13" x14ac:dyDescent="0.3">
      <c r="A221" t="s">
        <v>226</v>
      </c>
      <c r="B221" t="s">
        <v>1658</v>
      </c>
      <c r="C221" s="1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  <c r="K221" t="str">
        <f>TEXT(Table1[[#This Row],[PurchaseDate]],"mmm")</f>
        <v>May</v>
      </c>
      <c r="L221">
        <f>YEAR(Table1[[#This Row],[PurchaseDate]])</f>
        <v>2023</v>
      </c>
      <c r="M221" t="str">
        <f>IF(Table1[[#This Row],[TotalPrice]]&gt;2000,"High Sales","Low Sales")</f>
        <v>Low Sales</v>
      </c>
    </row>
    <row r="222" spans="1:13" x14ac:dyDescent="0.3">
      <c r="A222" t="s">
        <v>227</v>
      </c>
      <c r="B222" t="s">
        <v>1657</v>
      </c>
      <c r="C222" s="1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  <c r="K222" t="str">
        <f>TEXT(Table1[[#This Row],[PurchaseDate]],"mmm")</f>
        <v>Oct</v>
      </c>
      <c r="L222">
        <f>YEAR(Table1[[#This Row],[PurchaseDate]])</f>
        <v>2024</v>
      </c>
      <c r="M222" t="str">
        <f>IF(Table1[[#This Row],[TotalPrice]]&gt;2000,"High Sales","Low Sales")</f>
        <v>Low Sales</v>
      </c>
    </row>
    <row r="223" spans="1:13" x14ac:dyDescent="0.3">
      <c r="A223" t="s">
        <v>228</v>
      </c>
      <c r="B223" t="s">
        <v>1654</v>
      </c>
      <c r="C223" s="1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  <c r="K223" t="str">
        <f>TEXT(Table1[[#This Row],[PurchaseDate]],"mmm")</f>
        <v>May</v>
      </c>
      <c r="L223">
        <f>YEAR(Table1[[#This Row],[PurchaseDate]])</f>
        <v>2025</v>
      </c>
      <c r="M223" t="str">
        <f>IF(Table1[[#This Row],[TotalPrice]]&gt;2000,"High Sales","Low Sales")</f>
        <v>High Sales</v>
      </c>
    </row>
    <row r="224" spans="1:13" x14ac:dyDescent="0.3">
      <c r="A224" t="s">
        <v>229</v>
      </c>
      <c r="B224" t="s">
        <v>1652</v>
      </c>
      <c r="C224" s="1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  <c r="K224" t="str">
        <f>TEXT(Table1[[#This Row],[PurchaseDate]],"mmm")</f>
        <v>May</v>
      </c>
      <c r="L224">
        <f>YEAR(Table1[[#This Row],[PurchaseDate]])</f>
        <v>2025</v>
      </c>
      <c r="M224" t="str">
        <f>IF(Table1[[#This Row],[TotalPrice]]&gt;2000,"High Sales","Low Sales")</f>
        <v>Low Sales</v>
      </c>
    </row>
    <row r="225" spans="1:13" x14ac:dyDescent="0.3">
      <c r="A225" t="s">
        <v>230</v>
      </c>
      <c r="B225" t="s">
        <v>1654</v>
      </c>
      <c r="C225" s="1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  <c r="K225" t="str">
        <f>TEXT(Table1[[#This Row],[PurchaseDate]],"mmm")</f>
        <v>Sep</v>
      </c>
      <c r="L225">
        <f>YEAR(Table1[[#This Row],[PurchaseDate]])</f>
        <v>2024</v>
      </c>
      <c r="M225" t="str">
        <f>IF(Table1[[#This Row],[TotalPrice]]&gt;2000,"High Sales","Low Sales")</f>
        <v>High Sales</v>
      </c>
    </row>
    <row r="226" spans="1:13" x14ac:dyDescent="0.3">
      <c r="A226" t="s">
        <v>231</v>
      </c>
      <c r="B226" t="s">
        <v>1653</v>
      </c>
      <c r="C226" s="1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  <c r="K226" t="str">
        <f>TEXT(Table1[[#This Row],[PurchaseDate]],"mmm")</f>
        <v>Oct</v>
      </c>
      <c r="L226">
        <f>YEAR(Table1[[#This Row],[PurchaseDate]])</f>
        <v>2024</v>
      </c>
      <c r="M226" t="str">
        <f>IF(Table1[[#This Row],[TotalPrice]]&gt;2000,"High Sales","Low Sales")</f>
        <v>High Sales</v>
      </c>
    </row>
    <row r="227" spans="1:13" x14ac:dyDescent="0.3">
      <c r="A227" t="s">
        <v>232</v>
      </c>
      <c r="B227" t="s">
        <v>1652</v>
      </c>
      <c r="C227" s="1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  <c r="K227" t="str">
        <f>TEXT(Table1[[#This Row],[PurchaseDate]],"mmm")</f>
        <v>Sep</v>
      </c>
      <c r="L227">
        <f>YEAR(Table1[[#This Row],[PurchaseDate]])</f>
        <v>2024</v>
      </c>
      <c r="M227" t="str">
        <f>IF(Table1[[#This Row],[TotalPrice]]&gt;2000,"High Sales","Low Sales")</f>
        <v>High Sales</v>
      </c>
    </row>
    <row r="228" spans="1:13" x14ac:dyDescent="0.3">
      <c r="A228" t="s">
        <v>233</v>
      </c>
      <c r="B228" t="s">
        <v>1658</v>
      </c>
      <c r="C228" s="1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  <c r="K228" t="str">
        <f>TEXT(Table1[[#This Row],[PurchaseDate]],"mmm")</f>
        <v>Oct</v>
      </c>
      <c r="L228">
        <f>YEAR(Table1[[#This Row],[PurchaseDate]])</f>
        <v>2023</v>
      </c>
      <c r="M228" t="str">
        <f>IF(Table1[[#This Row],[TotalPrice]]&gt;2000,"High Sales","Low Sales")</f>
        <v>Low Sales</v>
      </c>
    </row>
    <row r="229" spans="1:13" x14ac:dyDescent="0.3">
      <c r="A229" t="s">
        <v>234</v>
      </c>
      <c r="B229" t="s">
        <v>1653</v>
      </c>
      <c r="C229" s="1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  <c r="K229" t="str">
        <f>TEXT(Table1[[#This Row],[PurchaseDate]],"mmm")</f>
        <v>Apr</v>
      </c>
      <c r="L229">
        <f>YEAR(Table1[[#This Row],[PurchaseDate]])</f>
        <v>2023</v>
      </c>
      <c r="M229" t="str">
        <f>IF(Table1[[#This Row],[TotalPrice]]&gt;2000,"High Sales","Low Sales")</f>
        <v>Low Sales</v>
      </c>
    </row>
    <row r="230" spans="1:13" x14ac:dyDescent="0.3">
      <c r="A230" t="s">
        <v>235</v>
      </c>
      <c r="B230" t="s">
        <v>1658</v>
      </c>
      <c r="C230" s="1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  <c r="K230" t="str">
        <f>TEXT(Table1[[#This Row],[PurchaseDate]],"mmm")</f>
        <v>Nov</v>
      </c>
      <c r="L230">
        <f>YEAR(Table1[[#This Row],[PurchaseDate]])</f>
        <v>2024</v>
      </c>
      <c r="M230" t="str">
        <f>IF(Table1[[#This Row],[TotalPrice]]&gt;2000,"High Sales","Low Sales")</f>
        <v>High Sales</v>
      </c>
    </row>
    <row r="231" spans="1:13" x14ac:dyDescent="0.3">
      <c r="A231" t="s">
        <v>236</v>
      </c>
      <c r="B231" t="s">
        <v>1656</v>
      </c>
      <c r="C231" s="1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  <c r="K231" t="str">
        <f>TEXT(Table1[[#This Row],[PurchaseDate]],"mmm")</f>
        <v>Apr</v>
      </c>
      <c r="L231">
        <f>YEAR(Table1[[#This Row],[PurchaseDate]])</f>
        <v>2025</v>
      </c>
      <c r="M231" t="str">
        <f>IF(Table1[[#This Row],[TotalPrice]]&gt;2000,"High Sales","Low Sales")</f>
        <v>High Sales</v>
      </c>
    </row>
    <row r="232" spans="1:13" x14ac:dyDescent="0.3">
      <c r="A232" t="s">
        <v>237</v>
      </c>
      <c r="B232" t="s">
        <v>1652</v>
      </c>
      <c r="C232" s="1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  <c r="K232" t="str">
        <f>TEXT(Table1[[#This Row],[PurchaseDate]],"mmm")</f>
        <v>Apr</v>
      </c>
      <c r="L232">
        <f>YEAR(Table1[[#This Row],[PurchaseDate]])</f>
        <v>2025</v>
      </c>
      <c r="M232" t="str">
        <f>IF(Table1[[#This Row],[TotalPrice]]&gt;2000,"High Sales","Low Sales")</f>
        <v>High Sales</v>
      </c>
    </row>
    <row r="233" spans="1:13" x14ac:dyDescent="0.3">
      <c r="A233" t="s">
        <v>238</v>
      </c>
      <c r="B233" t="s">
        <v>1656</v>
      </c>
      <c r="C233" s="1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  <c r="K233" t="str">
        <f>TEXT(Table1[[#This Row],[PurchaseDate]],"mmm")</f>
        <v>Dec</v>
      </c>
      <c r="L233">
        <f>YEAR(Table1[[#This Row],[PurchaseDate]])</f>
        <v>2023</v>
      </c>
      <c r="M233" t="str">
        <f>IF(Table1[[#This Row],[TotalPrice]]&gt;2000,"High Sales","Low Sales")</f>
        <v>Low Sales</v>
      </c>
    </row>
    <row r="234" spans="1:13" x14ac:dyDescent="0.3">
      <c r="A234" t="s">
        <v>239</v>
      </c>
      <c r="B234" t="s">
        <v>1655</v>
      </c>
      <c r="C234" s="1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  <c r="K234" t="str">
        <f>TEXT(Table1[[#This Row],[PurchaseDate]],"mmm")</f>
        <v>Aug</v>
      </c>
      <c r="L234">
        <f>YEAR(Table1[[#This Row],[PurchaseDate]])</f>
        <v>2024</v>
      </c>
      <c r="M234" t="str">
        <f>IF(Table1[[#This Row],[TotalPrice]]&gt;2000,"High Sales","Low Sales")</f>
        <v>High Sales</v>
      </c>
    </row>
    <row r="235" spans="1:13" x14ac:dyDescent="0.3">
      <c r="A235" t="s">
        <v>240</v>
      </c>
      <c r="B235" t="s">
        <v>1656</v>
      </c>
      <c r="C235" s="1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  <c r="K235" t="str">
        <f>TEXT(Table1[[#This Row],[PurchaseDate]],"mmm")</f>
        <v>Nov</v>
      </c>
      <c r="L235">
        <f>YEAR(Table1[[#This Row],[PurchaseDate]])</f>
        <v>2024</v>
      </c>
      <c r="M235" t="str">
        <f>IF(Table1[[#This Row],[TotalPrice]]&gt;2000,"High Sales","Low Sales")</f>
        <v>High Sales</v>
      </c>
    </row>
    <row r="236" spans="1:13" x14ac:dyDescent="0.3">
      <c r="A236" t="s">
        <v>241</v>
      </c>
      <c r="B236" t="s">
        <v>1653</v>
      </c>
      <c r="C236" s="1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  <c r="K236" t="str">
        <f>TEXT(Table1[[#This Row],[PurchaseDate]],"mmm")</f>
        <v>Oct</v>
      </c>
      <c r="L236">
        <f>YEAR(Table1[[#This Row],[PurchaseDate]])</f>
        <v>2024</v>
      </c>
      <c r="M236" t="str">
        <f>IF(Table1[[#This Row],[TotalPrice]]&gt;2000,"High Sales","Low Sales")</f>
        <v>High Sales</v>
      </c>
    </row>
    <row r="237" spans="1:13" x14ac:dyDescent="0.3">
      <c r="A237" t="s">
        <v>242</v>
      </c>
      <c r="B237" t="s">
        <v>1653</v>
      </c>
      <c r="C237" s="1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  <c r="K237" t="str">
        <f>TEXT(Table1[[#This Row],[PurchaseDate]],"mmm")</f>
        <v>Jul</v>
      </c>
      <c r="L237">
        <f>YEAR(Table1[[#This Row],[PurchaseDate]])</f>
        <v>2024</v>
      </c>
      <c r="M237" t="str">
        <f>IF(Table1[[#This Row],[TotalPrice]]&gt;2000,"High Sales","Low Sales")</f>
        <v>High Sales</v>
      </c>
    </row>
    <row r="238" spans="1:13" x14ac:dyDescent="0.3">
      <c r="A238" t="s">
        <v>243</v>
      </c>
      <c r="B238" t="s">
        <v>1656</v>
      </c>
      <c r="C238" s="1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  <c r="K238" t="str">
        <f>TEXT(Table1[[#This Row],[PurchaseDate]],"mmm")</f>
        <v>Feb</v>
      </c>
      <c r="L238">
        <f>YEAR(Table1[[#This Row],[PurchaseDate]])</f>
        <v>2025</v>
      </c>
      <c r="M238" t="str">
        <f>IF(Table1[[#This Row],[TotalPrice]]&gt;2000,"High Sales","Low Sales")</f>
        <v>Low Sales</v>
      </c>
    </row>
    <row r="239" spans="1:13" x14ac:dyDescent="0.3">
      <c r="A239" t="s">
        <v>244</v>
      </c>
      <c r="B239" t="s">
        <v>1657</v>
      </c>
      <c r="C239" s="1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  <c r="K239" t="str">
        <f>TEXT(Table1[[#This Row],[PurchaseDate]],"mmm")</f>
        <v>Feb</v>
      </c>
      <c r="L239">
        <f>YEAR(Table1[[#This Row],[PurchaseDate]])</f>
        <v>2024</v>
      </c>
      <c r="M239" t="str">
        <f>IF(Table1[[#This Row],[TotalPrice]]&gt;2000,"High Sales","Low Sales")</f>
        <v>Low Sales</v>
      </c>
    </row>
    <row r="240" spans="1:13" x14ac:dyDescent="0.3">
      <c r="A240" t="s">
        <v>74</v>
      </c>
      <c r="B240" t="s">
        <v>1657</v>
      </c>
      <c r="C240" s="1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  <c r="K240" t="str">
        <f>TEXT(Table1[[#This Row],[PurchaseDate]],"mmm")</f>
        <v>Nov</v>
      </c>
      <c r="L240">
        <f>YEAR(Table1[[#This Row],[PurchaseDate]])</f>
        <v>2024</v>
      </c>
      <c r="M240" t="str">
        <f>IF(Table1[[#This Row],[TotalPrice]]&gt;2000,"High Sales","Low Sales")</f>
        <v>High Sales</v>
      </c>
    </row>
    <row r="241" spans="1:13" x14ac:dyDescent="0.3">
      <c r="A241" t="s">
        <v>245</v>
      </c>
      <c r="B241" t="s">
        <v>1655</v>
      </c>
      <c r="C241" s="1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  <c r="K241" t="str">
        <f>TEXT(Table1[[#This Row],[PurchaseDate]],"mmm")</f>
        <v>Sep</v>
      </c>
      <c r="L241">
        <f>YEAR(Table1[[#This Row],[PurchaseDate]])</f>
        <v>2023</v>
      </c>
      <c r="M241" t="str">
        <f>IF(Table1[[#This Row],[TotalPrice]]&gt;2000,"High Sales","Low Sales")</f>
        <v>Low Sales</v>
      </c>
    </row>
    <row r="242" spans="1:13" x14ac:dyDescent="0.3">
      <c r="A242" t="s">
        <v>246</v>
      </c>
      <c r="B242" t="s">
        <v>1657</v>
      </c>
      <c r="C242" s="1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  <c r="K242" t="str">
        <f>TEXT(Table1[[#This Row],[PurchaseDate]],"mmm")</f>
        <v>Jan</v>
      </c>
      <c r="L242">
        <f>YEAR(Table1[[#This Row],[PurchaseDate]])</f>
        <v>2025</v>
      </c>
      <c r="M242" t="str">
        <f>IF(Table1[[#This Row],[TotalPrice]]&gt;2000,"High Sales","Low Sales")</f>
        <v>Low Sales</v>
      </c>
    </row>
    <row r="243" spans="1:13" x14ac:dyDescent="0.3">
      <c r="A243" t="s">
        <v>247</v>
      </c>
      <c r="B243" t="s">
        <v>1654</v>
      </c>
      <c r="C243" s="1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  <c r="K243" t="str">
        <f>TEXT(Table1[[#This Row],[PurchaseDate]],"mmm")</f>
        <v>Dec</v>
      </c>
      <c r="L243">
        <f>YEAR(Table1[[#This Row],[PurchaseDate]])</f>
        <v>2024</v>
      </c>
      <c r="M243" t="str">
        <f>IF(Table1[[#This Row],[TotalPrice]]&gt;2000,"High Sales","Low Sales")</f>
        <v>High Sales</v>
      </c>
    </row>
    <row r="244" spans="1:13" x14ac:dyDescent="0.3">
      <c r="A244" t="s">
        <v>248</v>
      </c>
      <c r="B244" t="s">
        <v>1654</v>
      </c>
      <c r="C244" s="1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  <c r="K244" t="str">
        <f>TEXT(Table1[[#This Row],[PurchaseDate]],"mmm")</f>
        <v>Jul</v>
      </c>
      <c r="L244">
        <f>YEAR(Table1[[#This Row],[PurchaseDate]])</f>
        <v>2024</v>
      </c>
      <c r="M244" t="str">
        <f>IF(Table1[[#This Row],[TotalPrice]]&gt;2000,"High Sales","Low Sales")</f>
        <v>Low Sales</v>
      </c>
    </row>
    <row r="245" spans="1:13" x14ac:dyDescent="0.3">
      <c r="A245" t="s">
        <v>249</v>
      </c>
      <c r="B245" t="s">
        <v>1658</v>
      </c>
      <c r="C245" s="1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  <c r="K245" t="str">
        <f>TEXT(Table1[[#This Row],[PurchaseDate]],"mmm")</f>
        <v>Jan</v>
      </c>
      <c r="L245">
        <f>YEAR(Table1[[#This Row],[PurchaseDate]])</f>
        <v>2025</v>
      </c>
      <c r="M245" t="str">
        <f>IF(Table1[[#This Row],[TotalPrice]]&gt;2000,"High Sales","Low Sales")</f>
        <v>Low Sales</v>
      </c>
    </row>
    <row r="246" spans="1:13" x14ac:dyDescent="0.3">
      <c r="A246" t="s">
        <v>250</v>
      </c>
      <c r="B246" t="s">
        <v>1657</v>
      </c>
      <c r="C246" s="1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  <c r="K246" t="str">
        <f>TEXT(Table1[[#This Row],[PurchaseDate]],"mmm")</f>
        <v>Jan</v>
      </c>
      <c r="L246">
        <f>YEAR(Table1[[#This Row],[PurchaseDate]])</f>
        <v>2024</v>
      </c>
      <c r="M246" t="str">
        <f>IF(Table1[[#This Row],[TotalPrice]]&gt;2000,"High Sales","Low Sales")</f>
        <v>High Sales</v>
      </c>
    </row>
    <row r="247" spans="1:13" x14ac:dyDescent="0.3">
      <c r="A247" t="s">
        <v>251</v>
      </c>
      <c r="B247" t="s">
        <v>1658</v>
      </c>
      <c r="C247" s="1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  <c r="K247" t="str">
        <f>TEXT(Table1[[#This Row],[PurchaseDate]],"mmm")</f>
        <v>Jun</v>
      </c>
      <c r="L247">
        <f>YEAR(Table1[[#This Row],[PurchaseDate]])</f>
        <v>2024</v>
      </c>
      <c r="M247" t="str">
        <f>IF(Table1[[#This Row],[TotalPrice]]&gt;2000,"High Sales","Low Sales")</f>
        <v>High Sales</v>
      </c>
    </row>
    <row r="248" spans="1:13" x14ac:dyDescent="0.3">
      <c r="A248" t="s">
        <v>252</v>
      </c>
      <c r="B248" t="s">
        <v>1653</v>
      </c>
      <c r="C248" s="1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  <c r="K248" t="str">
        <f>TEXT(Table1[[#This Row],[PurchaseDate]],"mmm")</f>
        <v>Sep</v>
      </c>
      <c r="L248">
        <f>YEAR(Table1[[#This Row],[PurchaseDate]])</f>
        <v>2023</v>
      </c>
      <c r="M248" t="str">
        <f>IF(Table1[[#This Row],[TotalPrice]]&gt;2000,"High Sales","Low Sales")</f>
        <v>High Sales</v>
      </c>
    </row>
    <row r="249" spans="1:13" x14ac:dyDescent="0.3">
      <c r="A249" t="s">
        <v>253</v>
      </c>
      <c r="B249" t="s">
        <v>1653</v>
      </c>
      <c r="C249" s="1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  <c r="K249" t="str">
        <f>TEXT(Table1[[#This Row],[PurchaseDate]],"mmm")</f>
        <v>Jul</v>
      </c>
      <c r="L249">
        <f>YEAR(Table1[[#This Row],[PurchaseDate]])</f>
        <v>2023</v>
      </c>
      <c r="M249" t="str">
        <f>IF(Table1[[#This Row],[TotalPrice]]&gt;2000,"High Sales","Low Sales")</f>
        <v>High Sales</v>
      </c>
    </row>
    <row r="250" spans="1:13" x14ac:dyDescent="0.3">
      <c r="A250" t="s">
        <v>254</v>
      </c>
      <c r="B250" t="s">
        <v>1658</v>
      </c>
      <c r="C250" s="1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  <c r="K250" t="str">
        <f>TEXT(Table1[[#This Row],[PurchaseDate]],"mmm")</f>
        <v>Nov</v>
      </c>
      <c r="L250">
        <f>YEAR(Table1[[#This Row],[PurchaseDate]])</f>
        <v>2023</v>
      </c>
      <c r="M250" t="str">
        <f>IF(Table1[[#This Row],[TotalPrice]]&gt;2000,"High Sales","Low Sales")</f>
        <v>Low Sales</v>
      </c>
    </row>
    <row r="251" spans="1:13" x14ac:dyDescent="0.3">
      <c r="A251" t="s">
        <v>255</v>
      </c>
      <c r="B251" t="s">
        <v>1658</v>
      </c>
      <c r="C251" s="1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  <c r="K251" t="str">
        <f>TEXT(Table1[[#This Row],[PurchaseDate]],"mmm")</f>
        <v>Mar</v>
      </c>
      <c r="L251">
        <f>YEAR(Table1[[#This Row],[PurchaseDate]])</f>
        <v>2025</v>
      </c>
      <c r="M251" t="str">
        <f>IF(Table1[[#This Row],[TotalPrice]]&gt;2000,"High Sales","Low Sales")</f>
        <v>Low Sales</v>
      </c>
    </row>
    <row r="252" spans="1:13" x14ac:dyDescent="0.3">
      <c r="A252" t="s">
        <v>256</v>
      </c>
      <c r="B252" t="s">
        <v>1652</v>
      </c>
      <c r="C252" s="1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  <c r="K252" t="str">
        <f>TEXT(Table1[[#This Row],[PurchaseDate]],"mmm")</f>
        <v>Jan</v>
      </c>
      <c r="L252">
        <f>YEAR(Table1[[#This Row],[PurchaseDate]])</f>
        <v>2024</v>
      </c>
      <c r="M252" t="str">
        <f>IF(Table1[[#This Row],[TotalPrice]]&gt;2000,"High Sales","Low Sales")</f>
        <v>Low Sales</v>
      </c>
    </row>
    <row r="253" spans="1:13" x14ac:dyDescent="0.3">
      <c r="A253" t="s">
        <v>257</v>
      </c>
      <c r="B253" t="s">
        <v>1654</v>
      </c>
      <c r="C253" s="1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  <c r="K253" t="str">
        <f>TEXT(Table1[[#This Row],[PurchaseDate]],"mmm")</f>
        <v>May</v>
      </c>
      <c r="L253">
        <f>YEAR(Table1[[#This Row],[PurchaseDate]])</f>
        <v>2023</v>
      </c>
      <c r="M253" t="str">
        <f>IF(Table1[[#This Row],[TotalPrice]]&gt;2000,"High Sales","Low Sales")</f>
        <v>Low Sales</v>
      </c>
    </row>
    <row r="254" spans="1:13" x14ac:dyDescent="0.3">
      <c r="A254" t="s">
        <v>258</v>
      </c>
      <c r="B254" t="s">
        <v>1653</v>
      </c>
      <c r="C254" s="1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  <c r="K254" t="str">
        <f>TEXT(Table1[[#This Row],[PurchaseDate]],"mmm")</f>
        <v>Mar</v>
      </c>
      <c r="L254">
        <f>YEAR(Table1[[#This Row],[PurchaseDate]])</f>
        <v>2025</v>
      </c>
      <c r="M254" t="str">
        <f>IF(Table1[[#This Row],[TotalPrice]]&gt;2000,"High Sales","Low Sales")</f>
        <v>High Sales</v>
      </c>
    </row>
    <row r="255" spans="1:13" x14ac:dyDescent="0.3">
      <c r="A255" t="s">
        <v>259</v>
      </c>
      <c r="B255" t="s">
        <v>1652</v>
      </c>
      <c r="C255" s="1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  <c r="K255" t="str">
        <f>TEXT(Table1[[#This Row],[PurchaseDate]],"mmm")</f>
        <v>Apr</v>
      </c>
      <c r="L255">
        <f>YEAR(Table1[[#This Row],[PurchaseDate]])</f>
        <v>2025</v>
      </c>
      <c r="M255" t="str">
        <f>IF(Table1[[#This Row],[TotalPrice]]&gt;2000,"High Sales","Low Sales")</f>
        <v>Low Sales</v>
      </c>
    </row>
    <row r="256" spans="1:13" x14ac:dyDescent="0.3">
      <c r="A256" t="s">
        <v>260</v>
      </c>
      <c r="B256" t="s">
        <v>1657</v>
      </c>
      <c r="C256" s="1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  <c r="K256" t="str">
        <f>TEXT(Table1[[#This Row],[PurchaseDate]],"mmm")</f>
        <v>Oct</v>
      </c>
      <c r="L256">
        <f>YEAR(Table1[[#This Row],[PurchaseDate]])</f>
        <v>2023</v>
      </c>
      <c r="M256" t="str">
        <f>IF(Table1[[#This Row],[TotalPrice]]&gt;2000,"High Sales","Low Sales")</f>
        <v>Low Sales</v>
      </c>
    </row>
    <row r="257" spans="1:13" x14ac:dyDescent="0.3">
      <c r="A257" t="s">
        <v>261</v>
      </c>
      <c r="B257" t="s">
        <v>1656</v>
      </c>
      <c r="C257" s="1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  <c r="K257" t="str">
        <f>TEXT(Table1[[#This Row],[PurchaseDate]],"mmm")</f>
        <v>Feb</v>
      </c>
      <c r="L257">
        <f>YEAR(Table1[[#This Row],[PurchaseDate]])</f>
        <v>2023</v>
      </c>
      <c r="M257" t="str">
        <f>IF(Table1[[#This Row],[TotalPrice]]&gt;2000,"High Sales","Low Sales")</f>
        <v>Low Sales</v>
      </c>
    </row>
    <row r="258" spans="1:13" x14ac:dyDescent="0.3">
      <c r="A258" t="s">
        <v>262</v>
      </c>
      <c r="B258" t="s">
        <v>1653</v>
      </c>
      <c r="C258" s="1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  <c r="K258" t="str">
        <f>TEXT(Table1[[#This Row],[PurchaseDate]],"mmm")</f>
        <v>Apr</v>
      </c>
      <c r="L258">
        <f>YEAR(Table1[[#This Row],[PurchaseDate]])</f>
        <v>2025</v>
      </c>
      <c r="M258" t="str">
        <f>IF(Table1[[#This Row],[TotalPrice]]&gt;2000,"High Sales","Low Sales")</f>
        <v>Low Sales</v>
      </c>
    </row>
    <row r="259" spans="1:13" x14ac:dyDescent="0.3">
      <c r="A259" t="s">
        <v>263</v>
      </c>
      <c r="B259" t="s">
        <v>1658</v>
      </c>
      <c r="C259" s="1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  <c r="K259" t="str">
        <f>TEXT(Table1[[#This Row],[PurchaseDate]],"mmm")</f>
        <v>Oct</v>
      </c>
      <c r="L259">
        <f>YEAR(Table1[[#This Row],[PurchaseDate]])</f>
        <v>2024</v>
      </c>
      <c r="M259" t="str">
        <f>IF(Table1[[#This Row],[TotalPrice]]&gt;2000,"High Sales","Low Sales")</f>
        <v>Low Sales</v>
      </c>
    </row>
    <row r="260" spans="1:13" x14ac:dyDescent="0.3">
      <c r="A260" t="s">
        <v>264</v>
      </c>
      <c r="B260" t="s">
        <v>1657</v>
      </c>
      <c r="C260" s="1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  <c r="K260" t="str">
        <f>TEXT(Table1[[#This Row],[PurchaseDate]],"mmm")</f>
        <v>Dec</v>
      </c>
      <c r="L260">
        <f>YEAR(Table1[[#This Row],[PurchaseDate]])</f>
        <v>2024</v>
      </c>
      <c r="M260" t="str">
        <f>IF(Table1[[#This Row],[TotalPrice]]&gt;2000,"High Sales","Low Sales")</f>
        <v>High Sales</v>
      </c>
    </row>
    <row r="261" spans="1:13" x14ac:dyDescent="0.3">
      <c r="A261" t="s">
        <v>265</v>
      </c>
      <c r="B261" t="s">
        <v>1654</v>
      </c>
      <c r="C261" s="1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  <c r="K261" t="str">
        <f>TEXT(Table1[[#This Row],[PurchaseDate]],"mmm")</f>
        <v>Jun</v>
      </c>
      <c r="L261">
        <f>YEAR(Table1[[#This Row],[PurchaseDate]])</f>
        <v>2023</v>
      </c>
      <c r="M261" t="str">
        <f>IF(Table1[[#This Row],[TotalPrice]]&gt;2000,"High Sales","Low Sales")</f>
        <v>Low Sales</v>
      </c>
    </row>
    <row r="262" spans="1:13" x14ac:dyDescent="0.3">
      <c r="A262" t="s">
        <v>266</v>
      </c>
      <c r="B262" t="s">
        <v>1653</v>
      </c>
      <c r="C262" s="1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  <c r="K262" t="str">
        <f>TEXT(Table1[[#This Row],[PurchaseDate]],"mmm")</f>
        <v>Jun</v>
      </c>
      <c r="L262">
        <f>YEAR(Table1[[#This Row],[PurchaseDate]])</f>
        <v>2025</v>
      </c>
      <c r="M262" t="str">
        <f>IF(Table1[[#This Row],[TotalPrice]]&gt;2000,"High Sales","Low Sales")</f>
        <v>Low Sales</v>
      </c>
    </row>
    <row r="263" spans="1:13" x14ac:dyDescent="0.3">
      <c r="A263" t="s">
        <v>267</v>
      </c>
      <c r="B263" t="s">
        <v>1656</v>
      </c>
      <c r="C263" s="1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  <c r="K263" t="str">
        <f>TEXT(Table1[[#This Row],[PurchaseDate]],"mmm")</f>
        <v>Apr</v>
      </c>
      <c r="L263">
        <f>YEAR(Table1[[#This Row],[PurchaseDate]])</f>
        <v>2025</v>
      </c>
      <c r="M263" t="str">
        <f>IF(Table1[[#This Row],[TotalPrice]]&gt;2000,"High Sales","Low Sales")</f>
        <v>High Sales</v>
      </c>
    </row>
    <row r="264" spans="1:13" x14ac:dyDescent="0.3">
      <c r="A264" t="s">
        <v>268</v>
      </c>
      <c r="B264" t="s">
        <v>1654</v>
      </c>
      <c r="C264" s="1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  <c r="K264" t="str">
        <f>TEXT(Table1[[#This Row],[PurchaseDate]],"mmm")</f>
        <v>May</v>
      </c>
      <c r="L264">
        <f>YEAR(Table1[[#This Row],[PurchaseDate]])</f>
        <v>2025</v>
      </c>
      <c r="M264" t="str">
        <f>IF(Table1[[#This Row],[TotalPrice]]&gt;2000,"High Sales","Low Sales")</f>
        <v>Low Sales</v>
      </c>
    </row>
    <row r="265" spans="1:13" x14ac:dyDescent="0.3">
      <c r="A265" t="s">
        <v>269</v>
      </c>
      <c r="B265" t="s">
        <v>1658</v>
      </c>
      <c r="C265" s="1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  <c r="K265" t="str">
        <f>TEXT(Table1[[#This Row],[PurchaseDate]],"mmm")</f>
        <v>Jan</v>
      </c>
      <c r="L265">
        <f>YEAR(Table1[[#This Row],[PurchaseDate]])</f>
        <v>2025</v>
      </c>
      <c r="M265" t="str">
        <f>IF(Table1[[#This Row],[TotalPrice]]&gt;2000,"High Sales","Low Sales")</f>
        <v>High Sales</v>
      </c>
    </row>
    <row r="266" spans="1:13" x14ac:dyDescent="0.3">
      <c r="A266" t="s">
        <v>270</v>
      </c>
      <c r="B266" t="s">
        <v>1656</v>
      </c>
      <c r="C266" s="1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  <c r="K266" t="str">
        <f>TEXT(Table1[[#This Row],[PurchaseDate]],"mmm")</f>
        <v>Jun</v>
      </c>
      <c r="L266">
        <f>YEAR(Table1[[#This Row],[PurchaseDate]])</f>
        <v>2025</v>
      </c>
      <c r="M266" t="str">
        <f>IF(Table1[[#This Row],[TotalPrice]]&gt;2000,"High Sales","Low Sales")</f>
        <v>High Sales</v>
      </c>
    </row>
    <row r="267" spans="1:13" x14ac:dyDescent="0.3">
      <c r="A267" t="s">
        <v>271</v>
      </c>
      <c r="B267" t="s">
        <v>1656</v>
      </c>
      <c r="C267" s="1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  <c r="K267" t="str">
        <f>TEXT(Table1[[#This Row],[PurchaseDate]],"mmm")</f>
        <v>Feb</v>
      </c>
      <c r="L267">
        <f>YEAR(Table1[[#This Row],[PurchaseDate]])</f>
        <v>2025</v>
      </c>
      <c r="M267" t="str">
        <f>IF(Table1[[#This Row],[TotalPrice]]&gt;2000,"High Sales","Low Sales")</f>
        <v>Low Sales</v>
      </c>
    </row>
    <row r="268" spans="1:13" x14ac:dyDescent="0.3">
      <c r="A268" t="s">
        <v>272</v>
      </c>
      <c r="B268" t="s">
        <v>1652</v>
      </c>
      <c r="C268" s="1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  <c r="K268" t="str">
        <f>TEXT(Table1[[#This Row],[PurchaseDate]],"mmm")</f>
        <v>Jul</v>
      </c>
      <c r="L268">
        <f>YEAR(Table1[[#This Row],[PurchaseDate]])</f>
        <v>2023</v>
      </c>
      <c r="M268" t="str">
        <f>IF(Table1[[#This Row],[TotalPrice]]&gt;2000,"High Sales","Low Sales")</f>
        <v>Low Sales</v>
      </c>
    </row>
    <row r="269" spans="1:13" x14ac:dyDescent="0.3">
      <c r="A269" t="s">
        <v>273</v>
      </c>
      <c r="B269" t="s">
        <v>1655</v>
      </c>
      <c r="C269" s="1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  <c r="K269" t="str">
        <f>TEXT(Table1[[#This Row],[PurchaseDate]],"mmm")</f>
        <v>May</v>
      </c>
      <c r="L269">
        <f>YEAR(Table1[[#This Row],[PurchaseDate]])</f>
        <v>2024</v>
      </c>
      <c r="M269" t="str">
        <f>IF(Table1[[#This Row],[TotalPrice]]&gt;2000,"High Sales","Low Sales")</f>
        <v>High Sales</v>
      </c>
    </row>
    <row r="270" spans="1:13" x14ac:dyDescent="0.3">
      <c r="A270" t="s">
        <v>274</v>
      </c>
      <c r="B270" t="s">
        <v>1653</v>
      </c>
      <c r="C270" s="1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  <c r="K270" t="str">
        <f>TEXT(Table1[[#This Row],[PurchaseDate]],"mmm")</f>
        <v>Mar</v>
      </c>
      <c r="L270">
        <f>YEAR(Table1[[#This Row],[PurchaseDate]])</f>
        <v>2024</v>
      </c>
      <c r="M270" t="str">
        <f>IF(Table1[[#This Row],[TotalPrice]]&gt;2000,"High Sales","Low Sales")</f>
        <v>Low Sales</v>
      </c>
    </row>
    <row r="271" spans="1:13" x14ac:dyDescent="0.3">
      <c r="A271" t="s">
        <v>275</v>
      </c>
      <c r="B271" t="s">
        <v>1653</v>
      </c>
      <c r="C271" s="1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  <c r="K271" t="str">
        <f>TEXT(Table1[[#This Row],[PurchaseDate]],"mmm")</f>
        <v>Jun</v>
      </c>
      <c r="L271">
        <f>YEAR(Table1[[#This Row],[PurchaseDate]])</f>
        <v>2023</v>
      </c>
      <c r="M271" t="str">
        <f>IF(Table1[[#This Row],[TotalPrice]]&gt;2000,"High Sales","Low Sales")</f>
        <v>Low Sales</v>
      </c>
    </row>
    <row r="272" spans="1:13" x14ac:dyDescent="0.3">
      <c r="A272" t="s">
        <v>276</v>
      </c>
      <c r="B272" t="s">
        <v>1657</v>
      </c>
      <c r="C272" s="1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  <c r="K272" t="str">
        <f>TEXT(Table1[[#This Row],[PurchaseDate]],"mmm")</f>
        <v>Oct</v>
      </c>
      <c r="L272">
        <f>YEAR(Table1[[#This Row],[PurchaseDate]])</f>
        <v>2023</v>
      </c>
      <c r="M272" t="str">
        <f>IF(Table1[[#This Row],[TotalPrice]]&gt;2000,"High Sales","Low Sales")</f>
        <v>High Sales</v>
      </c>
    </row>
    <row r="273" spans="1:13" x14ac:dyDescent="0.3">
      <c r="A273" t="s">
        <v>277</v>
      </c>
      <c r="B273" t="s">
        <v>1654</v>
      </c>
      <c r="C273" s="1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  <c r="K273" t="str">
        <f>TEXT(Table1[[#This Row],[PurchaseDate]],"mmm")</f>
        <v>Apr</v>
      </c>
      <c r="L273">
        <f>YEAR(Table1[[#This Row],[PurchaseDate]])</f>
        <v>2023</v>
      </c>
      <c r="M273" t="str">
        <f>IF(Table1[[#This Row],[TotalPrice]]&gt;2000,"High Sales","Low Sales")</f>
        <v>Low Sales</v>
      </c>
    </row>
    <row r="274" spans="1:13" x14ac:dyDescent="0.3">
      <c r="A274" t="s">
        <v>278</v>
      </c>
      <c r="B274" t="s">
        <v>1654</v>
      </c>
      <c r="C274" s="1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  <c r="K274" t="str">
        <f>TEXT(Table1[[#This Row],[PurchaseDate]],"mmm")</f>
        <v>Jan</v>
      </c>
      <c r="L274">
        <f>YEAR(Table1[[#This Row],[PurchaseDate]])</f>
        <v>2025</v>
      </c>
      <c r="M274" t="str">
        <f>IF(Table1[[#This Row],[TotalPrice]]&gt;2000,"High Sales","Low Sales")</f>
        <v>Low Sales</v>
      </c>
    </row>
    <row r="275" spans="1:13" x14ac:dyDescent="0.3">
      <c r="A275" t="s">
        <v>279</v>
      </c>
      <c r="B275" t="s">
        <v>1654</v>
      </c>
      <c r="C275" s="1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  <c r="K275" t="str">
        <f>TEXT(Table1[[#This Row],[PurchaseDate]],"mmm")</f>
        <v>Dec</v>
      </c>
      <c r="L275">
        <f>YEAR(Table1[[#This Row],[PurchaseDate]])</f>
        <v>2023</v>
      </c>
      <c r="M275" t="str">
        <f>IF(Table1[[#This Row],[TotalPrice]]&gt;2000,"High Sales","Low Sales")</f>
        <v>High Sales</v>
      </c>
    </row>
    <row r="276" spans="1:13" x14ac:dyDescent="0.3">
      <c r="A276" t="s">
        <v>280</v>
      </c>
      <c r="B276" t="s">
        <v>1654</v>
      </c>
      <c r="C276" s="1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  <c r="K276" t="str">
        <f>TEXT(Table1[[#This Row],[PurchaseDate]],"mmm")</f>
        <v>Feb</v>
      </c>
      <c r="L276">
        <f>YEAR(Table1[[#This Row],[PurchaseDate]])</f>
        <v>2023</v>
      </c>
      <c r="M276" t="str">
        <f>IF(Table1[[#This Row],[TotalPrice]]&gt;2000,"High Sales","Low Sales")</f>
        <v>High Sales</v>
      </c>
    </row>
    <row r="277" spans="1:13" x14ac:dyDescent="0.3">
      <c r="A277" t="s">
        <v>281</v>
      </c>
      <c r="B277" t="s">
        <v>1652</v>
      </c>
      <c r="C277" s="1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  <c r="K277" t="str">
        <f>TEXT(Table1[[#This Row],[PurchaseDate]],"mmm")</f>
        <v>Aug</v>
      </c>
      <c r="L277">
        <f>YEAR(Table1[[#This Row],[PurchaseDate]])</f>
        <v>2023</v>
      </c>
      <c r="M277" t="str">
        <f>IF(Table1[[#This Row],[TotalPrice]]&gt;2000,"High Sales","Low Sales")</f>
        <v>Low Sales</v>
      </c>
    </row>
    <row r="278" spans="1:13" x14ac:dyDescent="0.3">
      <c r="A278" t="s">
        <v>282</v>
      </c>
      <c r="B278" t="s">
        <v>1652</v>
      </c>
      <c r="C278" s="1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  <c r="K278" t="str">
        <f>TEXT(Table1[[#This Row],[PurchaseDate]],"mmm")</f>
        <v>Dec</v>
      </c>
      <c r="L278">
        <f>YEAR(Table1[[#This Row],[PurchaseDate]])</f>
        <v>2024</v>
      </c>
      <c r="M278" t="str">
        <f>IF(Table1[[#This Row],[TotalPrice]]&gt;2000,"High Sales","Low Sales")</f>
        <v>Low Sales</v>
      </c>
    </row>
    <row r="279" spans="1:13" x14ac:dyDescent="0.3">
      <c r="A279" t="s">
        <v>283</v>
      </c>
      <c r="B279" t="s">
        <v>1653</v>
      </c>
      <c r="C279" s="1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  <c r="K279" t="str">
        <f>TEXT(Table1[[#This Row],[PurchaseDate]],"mmm")</f>
        <v>Jul</v>
      </c>
      <c r="L279">
        <f>YEAR(Table1[[#This Row],[PurchaseDate]])</f>
        <v>2024</v>
      </c>
      <c r="M279" t="str">
        <f>IF(Table1[[#This Row],[TotalPrice]]&gt;2000,"High Sales","Low Sales")</f>
        <v>Low Sales</v>
      </c>
    </row>
    <row r="280" spans="1:13" x14ac:dyDescent="0.3">
      <c r="A280" t="s">
        <v>284</v>
      </c>
      <c r="B280" t="s">
        <v>1656</v>
      </c>
      <c r="C280" s="1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  <c r="K280" t="str">
        <f>TEXT(Table1[[#This Row],[PurchaseDate]],"mmm")</f>
        <v>Jun</v>
      </c>
      <c r="L280">
        <f>YEAR(Table1[[#This Row],[PurchaseDate]])</f>
        <v>2025</v>
      </c>
      <c r="M280" t="str">
        <f>IF(Table1[[#This Row],[TotalPrice]]&gt;2000,"High Sales","Low Sales")</f>
        <v>Low Sales</v>
      </c>
    </row>
    <row r="281" spans="1:13" x14ac:dyDescent="0.3">
      <c r="A281" t="s">
        <v>285</v>
      </c>
      <c r="B281" t="s">
        <v>1658</v>
      </c>
      <c r="C281" s="1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  <c r="K281" t="str">
        <f>TEXT(Table1[[#This Row],[PurchaseDate]],"mmm")</f>
        <v>Mar</v>
      </c>
      <c r="L281">
        <f>YEAR(Table1[[#This Row],[PurchaseDate]])</f>
        <v>2025</v>
      </c>
      <c r="M281" t="str">
        <f>IF(Table1[[#This Row],[TotalPrice]]&gt;2000,"High Sales","Low Sales")</f>
        <v>Low Sales</v>
      </c>
    </row>
    <row r="282" spans="1:13" x14ac:dyDescent="0.3">
      <c r="A282" t="s">
        <v>286</v>
      </c>
      <c r="B282" t="s">
        <v>1654</v>
      </c>
      <c r="C282" s="1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  <c r="K282" t="str">
        <f>TEXT(Table1[[#This Row],[PurchaseDate]],"mmm")</f>
        <v>Jul</v>
      </c>
      <c r="L282">
        <f>YEAR(Table1[[#This Row],[PurchaseDate]])</f>
        <v>2024</v>
      </c>
      <c r="M282" t="str">
        <f>IF(Table1[[#This Row],[TotalPrice]]&gt;2000,"High Sales","Low Sales")</f>
        <v>Low Sales</v>
      </c>
    </row>
    <row r="283" spans="1:13" x14ac:dyDescent="0.3">
      <c r="A283" t="s">
        <v>287</v>
      </c>
      <c r="B283" t="s">
        <v>1652</v>
      </c>
      <c r="C283" s="1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  <c r="K283" t="str">
        <f>TEXT(Table1[[#This Row],[PurchaseDate]],"mmm")</f>
        <v>Nov</v>
      </c>
      <c r="L283">
        <f>YEAR(Table1[[#This Row],[PurchaseDate]])</f>
        <v>2024</v>
      </c>
      <c r="M283" t="str">
        <f>IF(Table1[[#This Row],[TotalPrice]]&gt;2000,"High Sales","Low Sales")</f>
        <v>Low Sales</v>
      </c>
    </row>
    <row r="284" spans="1:13" x14ac:dyDescent="0.3">
      <c r="A284" t="s">
        <v>288</v>
      </c>
      <c r="B284" t="s">
        <v>1653</v>
      </c>
      <c r="C284" s="1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  <c r="K284" t="str">
        <f>TEXT(Table1[[#This Row],[PurchaseDate]],"mmm")</f>
        <v>May</v>
      </c>
      <c r="L284">
        <f>YEAR(Table1[[#This Row],[PurchaseDate]])</f>
        <v>2025</v>
      </c>
      <c r="M284" t="str">
        <f>IF(Table1[[#This Row],[TotalPrice]]&gt;2000,"High Sales","Low Sales")</f>
        <v>High Sales</v>
      </c>
    </row>
    <row r="285" spans="1:13" x14ac:dyDescent="0.3">
      <c r="A285" t="s">
        <v>289</v>
      </c>
      <c r="B285" t="s">
        <v>1656</v>
      </c>
      <c r="C285" s="1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  <c r="K285" t="str">
        <f>TEXT(Table1[[#This Row],[PurchaseDate]],"mmm")</f>
        <v>Oct</v>
      </c>
      <c r="L285">
        <f>YEAR(Table1[[#This Row],[PurchaseDate]])</f>
        <v>2023</v>
      </c>
      <c r="M285" t="str">
        <f>IF(Table1[[#This Row],[TotalPrice]]&gt;2000,"High Sales","Low Sales")</f>
        <v>Low Sales</v>
      </c>
    </row>
    <row r="286" spans="1:13" x14ac:dyDescent="0.3">
      <c r="A286" t="s">
        <v>290</v>
      </c>
      <c r="B286" t="s">
        <v>1657</v>
      </c>
      <c r="C286" s="1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  <c r="K286" t="str">
        <f>TEXT(Table1[[#This Row],[PurchaseDate]],"mmm")</f>
        <v>Jan</v>
      </c>
      <c r="L286">
        <f>YEAR(Table1[[#This Row],[PurchaseDate]])</f>
        <v>2023</v>
      </c>
      <c r="M286" t="str">
        <f>IF(Table1[[#This Row],[TotalPrice]]&gt;2000,"High Sales","Low Sales")</f>
        <v>Low Sales</v>
      </c>
    </row>
    <row r="287" spans="1:13" x14ac:dyDescent="0.3">
      <c r="A287" t="s">
        <v>291</v>
      </c>
      <c r="B287" t="s">
        <v>1652</v>
      </c>
      <c r="C287" s="1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  <c r="K287" t="str">
        <f>TEXT(Table1[[#This Row],[PurchaseDate]],"mmm")</f>
        <v>Jun</v>
      </c>
      <c r="L287">
        <f>YEAR(Table1[[#This Row],[PurchaseDate]])</f>
        <v>2023</v>
      </c>
      <c r="M287" t="str">
        <f>IF(Table1[[#This Row],[TotalPrice]]&gt;2000,"High Sales","Low Sales")</f>
        <v>High Sales</v>
      </c>
    </row>
    <row r="288" spans="1:13" x14ac:dyDescent="0.3">
      <c r="A288" t="s">
        <v>292</v>
      </c>
      <c r="B288" t="s">
        <v>1658</v>
      </c>
      <c r="C288" s="1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  <c r="K288" t="str">
        <f>TEXT(Table1[[#This Row],[PurchaseDate]],"mmm")</f>
        <v>Feb</v>
      </c>
      <c r="L288">
        <f>YEAR(Table1[[#This Row],[PurchaseDate]])</f>
        <v>2024</v>
      </c>
      <c r="M288" t="str">
        <f>IF(Table1[[#This Row],[TotalPrice]]&gt;2000,"High Sales","Low Sales")</f>
        <v>High Sales</v>
      </c>
    </row>
    <row r="289" spans="1:13" x14ac:dyDescent="0.3">
      <c r="A289" t="s">
        <v>293</v>
      </c>
      <c r="B289" t="s">
        <v>1657</v>
      </c>
      <c r="C289" s="1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  <c r="K289" t="str">
        <f>TEXT(Table1[[#This Row],[PurchaseDate]],"mmm")</f>
        <v>Apr</v>
      </c>
      <c r="L289">
        <f>YEAR(Table1[[#This Row],[PurchaseDate]])</f>
        <v>2024</v>
      </c>
      <c r="M289" t="str">
        <f>IF(Table1[[#This Row],[TotalPrice]]&gt;2000,"High Sales","Low Sales")</f>
        <v>Low Sales</v>
      </c>
    </row>
    <row r="290" spans="1:13" x14ac:dyDescent="0.3">
      <c r="A290" t="s">
        <v>294</v>
      </c>
      <c r="B290" t="s">
        <v>1657</v>
      </c>
      <c r="C290" s="1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  <c r="K290" t="str">
        <f>TEXT(Table1[[#This Row],[PurchaseDate]],"mmm")</f>
        <v>Apr</v>
      </c>
      <c r="L290">
        <f>YEAR(Table1[[#This Row],[PurchaseDate]])</f>
        <v>2023</v>
      </c>
      <c r="M290" t="str">
        <f>IF(Table1[[#This Row],[TotalPrice]]&gt;2000,"High Sales","Low Sales")</f>
        <v>Low Sales</v>
      </c>
    </row>
    <row r="291" spans="1:13" x14ac:dyDescent="0.3">
      <c r="A291" t="s">
        <v>295</v>
      </c>
      <c r="B291" t="s">
        <v>1658</v>
      </c>
      <c r="C291" s="1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  <c r="K291" t="str">
        <f>TEXT(Table1[[#This Row],[PurchaseDate]],"mmm")</f>
        <v>Mar</v>
      </c>
      <c r="L291">
        <f>YEAR(Table1[[#This Row],[PurchaseDate]])</f>
        <v>2023</v>
      </c>
      <c r="M291" t="str">
        <f>IF(Table1[[#This Row],[TotalPrice]]&gt;2000,"High Sales","Low Sales")</f>
        <v>Low Sales</v>
      </c>
    </row>
    <row r="292" spans="1:13" x14ac:dyDescent="0.3">
      <c r="A292" t="s">
        <v>296</v>
      </c>
      <c r="B292" t="s">
        <v>1658</v>
      </c>
      <c r="C292" s="1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  <c r="K292" t="str">
        <f>TEXT(Table1[[#This Row],[PurchaseDate]],"mmm")</f>
        <v>Nov</v>
      </c>
      <c r="L292">
        <f>YEAR(Table1[[#This Row],[PurchaseDate]])</f>
        <v>2024</v>
      </c>
      <c r="M292" t="str">
        <f>IF(Table1[[#This Row],[TotalPrice]]&gt;2000,"High Sales","Low Sales")</f>
        <v>Low Sales</v>
      </c>
    </row>
    <row r="293" spans="1:13" x14ac:dyDescent="0.3">
      <c r="A293" t="s">
        <v>297</v>
      </c>
      <c r="B293" t="s">
        <v>1653</v>
      </c>
      <c r="C293" s="1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  <c r="K293" t="str">
        <f>TEXT(Table1[[#This Row],[PurchaseDate]],"mmm")</f>
        <v>Dec</v>
      </c>
      <c r="L293">
        <f>YEAR(Table1[[#This Row],[PurchaseDate]])</f>
        <v>2024</v>
      </c>
      <c r="M293" t="str">
        <f>IF(Table1[[#This Row],[TotalPrice]]&gt;2000,"High Sales","Low Sales")</f>
        <v>Low Sales</v>
      </c>
    </row>
    <row r="294" spans="1:13" x14ac:dyDescent="0.3">
      <c r="A294" t="s">
        <v>298</v>
      </c>
      <c r="B294" t="s">
        <v>1656</v>
      </c>
      <c r="C294" s="1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  <c r="K294" t="str">
        <f>TEXT(Table1[[#This Row],[PurchaseDate]],"mmm")</f>
        <v>Jan</v>
      </c>
      <c r="L294">
        <f>YEAR(Table1[[#This Row],[PurchaseDate]])</f>
        <v>2025</v>
      </c>
      <c r="M294" t="str">
        <f>IF(Table1[[#This Row],[TotalPrice]]&gt;2000,"High Sales","Low Sales")</f>
        <v>Low Sales</v>
      </c>
    </row>
    <row r="295" spans="1:13" x14ac:dyDescent="0.3">
      <c r="A295" t="s">
        <v>299</v>
      </c>
      <c r="B295" t="s">
        <v>1653</v>
      </c>
      <c r="C295" s="1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  <c r="K295" t="str">
        <f>TEXT(Table1[[#This Row],[PurchaseDate]],"mmm")</f>
        <v>Nov</v>
      </c>
      <c r="L295">
        <f>YEAR(Table1[[#This Row],[PurchaseDate]])</f>
        <v>2024</v>
      </c>
      <c r="M295" t="str">
        <f>IF(Table1[[#This Row],[TotalPrice]]&gt;2000,"High Sales","Low Sales")</f>
        <v>Low Sales</v>
      </c>
    </row>
    <row r="296" spans="1:13" x14ac:dyDescent="0.3">
      <c r="A296" t="s">
        <v>300</v>
      </c>
      <c r="B296" t="s">
        <v>1652</v>
      </c>
      <c r="C296" s="1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  <c r="K296" t="str">
        <f>TEXT(Table1[[#This Row],[PurchaseDate]],"mmm")</f>
        <v>Jan</v>
      </c>
      <c r="L296">
        <f>YEAR(Table1[[#This Row],[PurchaseDate]])</f>
        <v>2025</v>
      </c>
      <c r="M296" t="str">
        <f>IF(Table1[[#This Row],[TotalPrice]]&gt;2000,"High Sales","Low Sales")</f>
        <v>Low Sales</v>
      </c>
    </row>
    <row r="297" spans="1:13" x14ac:dyDescent="0.3">
      <c r="A297" t="s">
        <v>301</v>
      </c>
      <c r="B297" t="s">
        <v>1656</v>
      </c>
      <c r="C297" s="1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  <c r="K297" t="str">
        <f>TEXT(Table1[[#This Row],[PurchaseDate]],"mmm")</f>
        <v>Mar</v>
      </c>
      <c r="L297">
        <f>YEAR(Table1[[#This Row],[PurchaseDate]])</f>
        <v>2024</v>
      </c>
      <c r="M297" t="str">
        <f>IF(Table1[[#This Row],[TotalPrice]]&gt;2000,"High Sales","Low Sales")</f>
        <v>Low Sales</v>
      </c>
    </row>
    <row r="298" spans="1:13" x14ac:dyDescent="0.3">
      <c r="A298" t="s">
        <v>302</v>
      </c>
      <c r="B298" t="s">
        <v>1655</v>
      </c>
      <c r="C298" s="1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  <c r="K298" t="str">
        <f>TEXT(Table1[[#This Row],[PurchaseDate]],"mmm")</f>
        <v>Dec</v>
      </c>
      <c r="L298">
        <f>YEAR(Table1[[#This Row],[PurchaseDate]])</f>
        <v>2023</v>
      </c>
      <c r="M298" t="str">
        <f>IF(Table1[[#This Row],[TotalPrice]]&gt;2000,"High Sales","Low Sales")</f>
        <v>Low Sales</v>
      </c>
    </row>
    <row r="299" spans="1:13" x14ac:dyDescent="0.3">
      <c r="A299" t="s">
        <v>303</v>
      </c>
      <c r="B299" t="s">
        <v>1656</v>
      </c>
      <c r="C299" s="1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  <c r="K299" t="str">
        <f>TEXT(Table1[[#This Row],[PurchaseDate]],"mmm")</f>
        <v>Apr</v>
      </c>
      <c r="L299">
        <f>YEAR(Table1[[#This Row],[PurchaseDate]])</f>
        <v>2023</v>
      </c>
      <c r="M299" t="str">
        <f>IF(Table1[[#This Row],[TotalPrice]]&gt;2000,"High Sales","Low Sales")</f>
        <v>Low Sales</v>
      </c>
    </row>
    <row r="300" spans="1:13" x14ac:dyDescent="0.3">
      <c r="A300" t="s">
        <v>304</v>
      </c>
      <c r="B300" t="s">
        <v>1653</v>
      </c>
      <c r="C300" s="1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  <c r="K300" t="str">
        <f>TEXT(Table1[[#This Row],[PurchaseDate]],"mmm")</f>
        <v>Jun</v>
      </c>
      <c r="L300">
        <f>YEAR(Table1[[#This Row],[PurchaseDate]])</f>
        <v>2023</v>
      </c>
      <c r="M300" t="str">
        <f>IF(Table1[[#This Row],[TotalPrice]]&gt;2000,"High Sales","Low Sales")</f>
        <v>Low Sales</v>
      </c>
    </row>
    <row r="301" spans="1:13" x14ac:dyDescent="0.3">
      <c r="A301" t="s">
        <v>305</v>
      </c>
      <c r="B301" t="s">
        <v>1657</v>
      </c>
      <c r="C301" s="1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  <c r="K301" t="str">
        <f>TEXT(Table1[[#This Row],[PurchaseDate]],"mmm")</f>
        <v>Apr</v>
      </c>
      <c r="L301">
        <f>YEAR(Table1[[#This Row],[PurchaseDate]])</f>
        <v>2024</v>
      </c>
      <c r="M301" t="str">
        <f>IF(Table1[[#This Row],[TotalPrice]]&gt;2000,"High Sales","Low Sales")</f>
        <v>Low Sales</v>
      </c>
    </row>
    <row r="302" spans="1:13" x14ac:dyDescent="0.3">
      <c r="A302" t="s">
        <v>306</v>
      </c>
      <c r="B302" t="s">
        <v>1657</v>
      </c>
      <c r="C302" s="1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  <c r="K302" t="str">
        <f>TEXT(Table1[[#This Row],[PurchaseDate]],"mmm")</f>
        <v>Oct</v>
      </c>
      <c r="L302">
        <f>YEAR(Table1[[#This Row],[PurchaseDate]])</f>
        <v>2024</v>
      </c>
      <c r="M302" t="str">
        <f>IF(Table1[[#This Row],[TotalPrice]]&gt;2000,"High Sales","Low Sales")</f>
        <v>High Sales</v>
      </c>
    </row>
    <row r="303" spans="1:13" x14ac:dyDescent="0.3">
      <c r="A303" t="s">
        <v>21</v>
      </c>
      <c r="B303" t="s">
        <v>1658</v>
      </c>
      <c r="C303" s="1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  <c r="K303" t="str">
        <f>TEXT(Table1[[#This Row],[PurchaseDate]],"mmm")</f>
        <v>Feb</v>
      </c>
      <c r="L303">
        <f>YEAR(Table1[[#This Row],[PurchaseDate]])</f>
        <v>2024</v>
      </c>
      <c r="M303" t="str">
        <f>IF(Table1[[#This Row],[TotalPrice]]&gt;2000,"High Sales","Low Sales")</f>
        <v>High Sales</v>
      </c>
    </row>
    <row r="304" spans="1:13" x14ac:dyDescent="0.3">
      <c r="A304" t="s">
        <v>307</v>
      </c>
      <c r="B304" t="s">
        <v>1656</v>
      </c>
      <c r="C304" s="1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  <c r="K304" t="str">
        <f>TEXT(Table1[[#This Row],[PurchaseDate]],"mmm")</f>
        <v>Dec</v>
      </c>
      <c r="L304">
        <f>YEAR(Table1[[#This Row],[PurchaseDate]])</f>
        <v>2023</v>
      </c>
      <c r="M304" t="str">
        <f>IF(Table1[[#This Row],[TotalPrice]]&gt;2000,"High Sales","Low Sales")</f>
        <v>High Sales</v>
      </c>
    </row>
    <row r="305" spans="1:13" x14ac:dyDescent="0.3">
      <c r="A305" t="s">
        <v>308</v>
      </c>
      <c r="B305" t="s">
        <v>1654</v>
      </c>
      <c r="C305" s="1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  <c r="K305" t="str">
        <f>TEXT(Table1[[#This Row],[PurchaseDate]],"mmm")</f>
        <v>May</v>
      </c>
      <c r="L305">
        <f>YEAR(Table1[[#This Row],[PurchaseDate]])</f>
        <v>2024</v>
      </c>
      <c r="M305" t="str">
        <f>IF(Table1[[#This Row],[TotalPrice]]&gt;2000,"High Sales","Low Sales")</f>
        <v>Low Sales</v>
      </c>
    </row>
    <row r="306" spans="1:13" x14ac:dyDescent="0.3">
      <c r="A306" t="s">
        <v>309</v>
      </c>
      <c r="B306" t="s">
        <v>1657</v>
      </c>
      <c r="C306" s="1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  <c r="K306" t="str">
        <f>TEXT(Table1[[#This Row],[PurchaseDate]],"mmm")</f>
        <v>Apr</v>
      </c>
      <c r="L306">
        <f>YEAR(Table1[[#This Row],[PurchaseDate]])</f>
        <v>2025</v>
      </c>
      <c r="M306" t="str">
        <f>IF(Table1[[#This Row],[TotalPrice]]&gt;2000,"High Sales","Low Sales")</f>
        <v>High Sales</v>
      </c>
    </row>
    <row r="307" spans="1:13" x14ac:dyDescent="0.3">
      <c r="A307" t="s">
        <v>310</v>
      </c>
      <c r="B307" t="s">
        <v>1655</v>
      </c>
      <c r="C307" s="1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  <c r="K307" t="str">
        <f>TEXT(Table1[[#This Row],[PurchaseDate]],"mmm")</f>
        <v>Oct</v>
      </c>
      <c r="L307">
        <f>YEAR(Table1[[#This Row],[PurchaseDate]])</f>
        <v>2024</v>
      </c>
      <c r="M307" t="str">
        <f>IF(Table1[[#This Row],[TotalPrice]]&gt;2000,"High Sales","Low Sales")</f>
        <v>Low Sales</v>
      </c>
    </row>
    <row r="308" spans="1:13" x14ac:dyDescent="0.3">
      <c r="A308" t="s">
        <v>311</v>
      </c>
      <c r="B308" t="s">
        <v>1653</v>
      </c>
      <c r="C308" s="1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  <c r="K308" t="str">
        <f>TEXT(Table1[[#This Row],[PurchaseDate]],"mmm")</f>
        <v>Feb</v>
      </c>
      <c r="L308">
        <f>YEAR(Table1[[#This Row],[PurchaseDate]])</f>
        <v>2023</v>
      </c>
      <c r="M308" t="str">
        <f>IF(Table1[[#This Row],[TotalPrice]]&gt;2000,"High Sales","Low Sales")</f>
        <v>Low Sales</v>
      </c>
    </row>
    <row r="309" spans="1:13" x14ac:dyDescent="0.3">
      <c r="A309" t="s">
        <v>312</v>
      </c>
      <c r="B309" t="s">
        <v>1658</v>
      </c>
      <c r="C309" s="1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  <c r="K309" t="str">
        <f>TEXT(Table1[[#This Row],[PurchaseDate]],"mmm")</f>
        <v>Aug</v>
      </c>
      <c r="L309">
        <f>YEAR(Table1[[#This Row],[PurchaseDate]])</f>
        <v>2023</v>
      </c>
      <c r="M309" t="str">
        <f>IF(Table1[[#This Row],[TotalPrice]]&gt;2000,"High Sales","Low Sales")</f>
        <v>Low Sales</v>
      </c>
    </row>
    <row r="310" spans="1:13" x14ac:dyDescent="0.3">
      <c r="A310" t="s">
        <v>313</v>
      </c>
      <c r="B310" t="s">
        <v>1652</v>
      </c>
      <c r="C310" s="1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  <c r="K310" t="str">
        <f>TEXT(Table1[[#This Row],[PurchaseDate]],"mmm")</f>
        <v>Jan</v>
      </c>
      <c r="L310">
        <f>YEAR(Table1[[#This Row],[PurchaseDate]])</f>
        <v>2024</v>
      </c>
      <c r="M310" t="str">
        <f>IF(Table1[[#This Row],[TotalPrice]]&gt;2000,"High Sales","Low Sales")</f>
        <v>High Sales</v>
      </c>
    </row>
    <row r="311" spans="1:13" x14ac:dyDescent="0.3">
      <c r="A311" t="s">
        <v>314</v>
      </c>
      <c r="B311" t="s">
        <v>1652</v>
      </c>
      <c r="C311" s="1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  <c r="K311" t="str">
        <f>TEXT(Table1[[#This Row],[PurchaseDate]],"mmm")</f>
        <v>May</v>
      </c>
      <c r="L311">
        <f>YEAR(Table1[[#This Row],[PurchaseDate]])</f>
        <v>2024</v>
      </c>
      <c r="M311" t="str">
        <f>IF(Table1[[#This Row],[TotalPrice]]&gt;2000,"High Sales","Low Sales")</f>
        <v>High Sales</v>
      </c>
    </row>
    <row r="312" spans="1:13" x14ac:dyDescent="0.3">
      <c r="A312" t="s">
        <v>315</v>
      </c>
      <c r="B312" t="s">
        <v>1652</v>
      </c>
      <c r="C312" s="1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  <c r="K312" t="str">
        <f>TEXT(Table1[[#This Row],[PurchaseDate]],"mmm")</f>
        <v>Dec</v>
      </c>
      <c r="L312">
        <f>YEAR(Table1[[#This Row],[PurchaseDate]])</f>
        <v>2024</v>
      </c>
      <c r="M312" t="str">
        <f>IF(Table1[[#This Row],[TotalPrice]]&gt;2000,"High Sales","Low Sales")</f>
        <v>Low Sales</v>
      </c>
    </row>
    <row r="313" spans="1:13" x14ac:dyDescent="0.3">
      <c r="A313" t="s">
        <v>316</v>
      </c>
      <c r="B313" t="s">
        <v>1654</v>
      </c>
      <c r="C313" s="1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  <c r="K313" t="str">
        <f>TEXT(Table1[[#This Row],[PurchaseDate]],"mmm")</f>
        <v>Jan</v>
      </c>
      <c r="L313">
        <f>YEAR(Table1[[#This Row],[PurchaseDate]])</f>
        <v>2025</v>
      </c>
      <c r="M313" t="str">
        <f>IF(Table1[[#This Row],[TotalPrice]]&gt;2000,"High Sales","Low Sales")</f>
        <v>High Sales</v>
      </c>
    </row>
    <row r="314" spans="1:13" x14ac:dyDescent="0.3">
      <c r="A314" t="s">
        <v>317</v>
      </c>
      <c r="B314" t="s">
        <v>1652</v>
      </c>
      <c r="C314" s="1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  <c r="K314" t="str">
        <f>TEXT(Table1[[#This Row],[PurchaseDate]],"mmm")</f>
        <v>Jun</v>
      </c>
      <c r="L314">
        <f>YEAR(Table1[[#This Row],[PurchaseDate]])</f>
        <v>2024</v>
      </c>
      <c r="M314" t="str">
        <f>IF(Table1[[#This Row],[TotalPrice]]&gt;2000,"High Sales","Low Sales")</f>
        <v>High Sales</v>
      </c>
    </row>
    <row r="315" spans="1:13" x14ac:dyDescent="0.3">
      <c r="A315" t="s">
        <v>318</v>
      </c>
      <c r="B315" t="s">
        <v>1658</v>
      </c>
      <c r="C315" s="1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  <c r="K315" t="str">
        <f>TEXT(Table1[[#This Row],[PurchaseDate]],"mmm")</f>
        <v>Jun</v>
      </c>
      <c r="L315">
        <f>YEAR(Table1[[#This Row],[PurchaseDate]])</f>
        <v>2025</v>
      </c>
      <c r="M315" t="str">
        <f>IF(Table1[[#This Row],[TotalPrice]]&gt;2000,"High Sales","Low Sales")</f>
        <v>High Sales</v>
      </c>
    </row>
    <row r="316" spans="1:13" x14ac:dyDescent="0.3">
      <c r="A316" t="s">
        <v>319</v>
      </c>
      <c r="B316" t="s">
        <v>1656</v>
      </c>
      <c r="C316" s="1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  <c r="K316" t="str">
        <f>TEXT(Table1[[#This Row],[PurchaseDate]],"mmm")</f>
        <v>May</v>
      </c>
      <c r="L316">
        <f>YEAR(Table1[[#This Row],[PurchaseDate]])</f>
        <v>2025</v>
      </c>
      <c r="M316" t="str">
        <f>IF(Table1[[#This Row],[TotalPrice]]&gt;2000,"High Sales","Low Sales")</f>
        <v>Low Sales</v>
      </c>
    </row>
    <row r="317" spans="1:13" x14ac:dyDescent="0.3">
      <c r="A317" t="s">
        <v>320</v>
      </c>
      <c r="B317" t="s">
        <v>1658</v>
      </c>
      <c r="C317" s="1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  <c r="K317" t="str">
        <f>TEXT(Table1[[#This Row],[PurchaseDate]],"mmm")</f>
        <v>May</v>
      </c>
      <c r="L317">
        <f>YEAR(Table1[[#This Row],[PurchaseDate]])</f>
        <v>2025</v>
      </c>
      <c r="M317" t="str">
        <f>IF(Table1[[#This Row],[TotalPrice]]&gt;2000,"High Sales","Low Sales")</f>
        <v>Low Sales</v>
      </c>
    </row>
    <row r="318" spans="1:13" x14ac:dyDescent="0.3">
      <c r="A318" t="s">
        <v>321</v>
      </c>
      <c r="B318" t="s">
        <v>1657</v>
      </c>
      <c r="C318" s="1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  <c r="K318" t="str">
        <f>TEXT(Table1[[#This Row],[PurchaseDate]],"mmm")</f>
        <v>Sep</v>
      </c>
      <c r="L318">
        <f>YEAR(Table1[[#This Row],[PurchaseDate]])</f>
        <v>2024</v>
      </c>
      <c r="M318" t="str">
        <f>IF(Table1[[#This Row],[TotalPrice]]&gt;2000,"High Sales","Low Sales")</f>
        <v>High Sales</v>
      </c>
    </row>
    <row r="319" spans="1:13" x14ac:dyDescent="0.3">
      <c r="A319" t="s">
        <v>322</v>
      </c>
      <c r="B319" t="s">
        <v>1652</v>
      </c>
      <c r="C319" s="1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  <c r="K319" t="str">
        <f>TEXT(Table1[[#This Row],[PurchaseDate]],"mmm")</f>
        <v>Jun</v>
      </c>
      <c r="L319">
        <f>YEAR(Table1[[#This Row],[PurchaseDate]])</f>
        <v>2023</v>
      </c>
      <c r="M319" t="str">
        <f>IF(Table1[[#This Row],[TotalPrice]]&gt;2000,"High Sales","Low Sales")</f>
        <v>High Sales</v>
      </c>
    </row>
    <row r="320" spans="1:13" x14ac:dyDescent="0.3">
      <c r="A320" t="s">
        <v>323</v>
      </c>
      <c r="B320" t="s">
        <v>1653</v>
      </c>
      <c r="C320" s="1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  <c r="K320" t="str">
        <f>TEXT(Table1[[#This Row],[PurchaseDate]],"mmm")</f>
        <v>Jun</v>
      </c>
      <c r="L320">
        <f>YEAR(Table1[[#This Row],[PurchaseDate]])</f>
        <v>2025</v>
      </c>
      <c r="M320" t="str">
        <f>IF(Table1[[#This Row],[TotalPrice]]&gt;2000,"High Sales","Low Sales")</f>
        <v>Low Sales</v>
      </c>
    </row>
    <row r="321" spans="1:13" x14ac:dyDescent="0.3">
      <c r="A321" t="s">
        <v>324</v>
      </c>
      <c r="B321" t="s">
        <v>1653</v>
      </c>
      <c r="C321" s="1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  <c r="K321" t="str">
        <f>TEXT(Table1[[#This Row],[PurchaseDate]],"mmm")</f>
        <v>Jul</v>
      </c>
      <c r="L321">
        <f>YEAR(Table1[[#This Row],[PurchaseDate]])</f>
        <v>2024</v>
      </c>
      <c r="M321" t="str">
        <f>IF(Table1[[#This Row],[TotalPrice]]&gt;2000,"High Sales","Low Sales")</f>
        <v>High Sales</v>
      </c>
    </row>
    <row r="322" spans="1:13" x14ac:dyDescent="0.3">
      <c r="A322" t="s">
        <v>325</v>
      </c>
      <c r="B322" t="s">
        <v>1656</v>
      </c>
      <c r="C322" s="1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  <c r="K322" t="str">
        <f>TEXT(Table1[[#This Row],[PurchaseDate]],"mmm")</f>
        <v>Aug</v>
      </c>
      <c r="L322">
        <f>YEAR(Table1[[#This Row],[PurchaseDate]])</f>
        <v>2023</v>
      </c>
      <c r="M322" t="str">
        <f>IF(Table1[[#This Row],[TotalPrice]]&gt;2000,"High Sales","Low Sales")</f>
        <v>Low Sales</v>
      </c>
    </row>
    <row r="323" spans="1:13" x14ac:dyDescent="0.3">
      <c r="A323" t="s">
        <v>326</v>
      </c>
      <c r="B323" t="s">
        <v>1654</v>
      </c>
      <c r="C323" s="1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  <c r="K323" t="str">
        <f>TEXT(Table1[[#This Row],[PurchaseDate]],"mmm")</f>
        <v>May</v>
      </c>
      <c r="L323">
        <f>YEAR(Table1[[#This Row],[PurchaseDate]])</f>
        <v>2025</v>
      </c>
      <c r="M323" t="str">
        <f>IF(Table1[[#This Row],[TotalPrice]]&gt;2000,"High Sales","Low Sales")</f>
        <v>High Sales</v>
      </c>
    </row>
    <row r="324" spans="1:13" x14ac:dyDescent="0.3">
      <c r="A324" t="s">
        <v>327</v>
      </c>
      <c r="B324" t="s">
        <v>1654</v>
      </c>
      <c r="C324" s="1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  <c r="K324" t="str">
        <f>TEXT(Table1[[#This Row],[PurchaseDate]],"mmm")</f>
        <v>Mar</v>
      </c>
      <c r="L324">
        <f>YEAR(Table1[[#This Row],[PurchaseDate]])</f>
        <v>2025</v>
      </c>
      <c r="M324" t="str">
        <f>IF(Table1[[#This Row],[TotalPrice]]&gt;2000,"High Sales","Low Sales")</f>
        <v>Low Sales</v>
      </c>
    </row>
    <row r="325" spans="1:13" x14ac:dyDescent="0.3">
      <c r="A325" t="s">
        <v>328</v>
      </c>
      <c r="B325" t="s">
        <v>1656</v>
      </c>
      <c r="C325" s="1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  <c r="K325" t="str">
        <f>TEXT(Table1[[#This Row],[PurchaseDate]],"mmm")</f>
        <v>Jan</v>
      </c>
      <c r="L325">
        <f>YEAR(Table1[[#This Row],[PurchaseDate]])</f>
        <v>2025</v>
      </c>
      <c r="M325" t="str">
        <f>IF(Table1[[#This Row],[TotalPrice]]&gt;2000,"High Sales","Low Sales")</f>
        <v>Low Sales</v>
      </c>
    </row>
    <row r="326" spans="1:13" x14ac:dyDescent="0.3">
      <c r="A326" t="s">
        <v>329</v>
      </c>
      <c r="B326" t="s">
        <v>1655</v>
      </c>
      <c r="C326" s="1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  <c r="K326" t="str">
        <f>TEXT(Table1[[#This Row],[PurchaseDate]],"mmm")</f>
        <v>May</v>
      </c>
      <c r="L326">
        <f>YEAR(Table1[[#This Row],[PurchaseDate]])</f>
        <v>2024</v>
      </c>
      <c r="M326" t="str">
        <f>IF(Table1[[#This Row],[TotalPrice]]&gt;2000,"High Sales","Low Sales")</f>
        <v>Low Sales</v>
      </c>
    </row>
    <row r="327" spans="1:13" x14ac:dyDescent="0.3">
      <c r="A327" t="s">
        <v>330</v>
      </c>
      <c r="B327" t="s">
        <v>1653</v>
      </c>
      <c r="C327" s="1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  <c r="K327" t="str">
        <f>TEXT(Table1[[#This Row],[PurchaseDate]],"mmm")</f>
        <v>Mar</v>
      </c>
      <c r="L327">
        <f>YEAR(Table1[[#This Row],[PurchaseDate]])</f>
        <v>2025</v>
      </c>
      <c r="M327" t="str">
        <f>IF(Table1[[#This Row],[TotalPrice]]&gt;2000,"High Sales","Low Sales")</f>
        <v>Low Sales</v>
      </c>
    </row>
    <row r="328" spans="1:13" x14ac:dyDescent="0.3">
      <c r="A328" t="s">
        <v>331</v>
      </c>
      <c r="B328" t="s">
        <v>1656</v>
      </c>
      <c r="C328" s="1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  <c r="K328" t="str">
        <f>TEXT(Table1[[#This Row],[PurchaseDate]],"mmm")</f>
        <v>May</v>
      </c>
      <c r="L328">
        <f>YEAR(Table1[[#This Row],[PurchaseDate]])</f>
        <v>2025</v>
      </c>
      <c r="M328" t="str">
        <f>IF(Table1[[#This Row],[TotalPrice]]&gt;2000,"High Sales","Low Sales")</f>
        <v>High Sales</v>
      </c>
    </row>
    <row r="329" spans="1:13" x14ac:dyDescent="0.3">
      <c r="A329" t="s">
        <v>332</v>
      </c>
      <c r="B329" t="s">
        <v>1654</v>
      </c>
      <c r="C329" s="1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  <c r="K329" t="str">
        <f>TEXT(Table1[[#This Row],[PurchaseDate]],"mmm")</f>
        <v>Jan</v>
      </c>
      <c r="L329">
        <f>YEAR(Table1[[#This Row],[PurchaseDate]])</f>
        <v>2023</v>
      </c>
      <c r="M329" t="str">
        <f>IF(Table1[[#This Row],[TotalPrice]]&gt;2000,"High Sales","Low Sales")</f>
        <v>Low Sales</v>
      </c>
    </row>
    <row r="330" spans="1:13" x14ac:dyDescent="0.3">
      <c r="A330" t="s">
        <v>333</v>
      </c>
      <c r="B330" t="s">
        <v>1657</v>
      </c>
      <c r="C330" s="1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  <c r="K330" t="str">
        <f>TEXT(Table1[[#This Row],[PurchaseDate]],"mmm")</f>
        <v>Nov</v>
      </c>
      <c r="L330">
        <f>YEAR(Table1[[#This Row],[PurchaseDate]])</f>
        <v>2023</v>
      </c>
      <c r="M330" t="str">
        <f>IF(Table1[[#This Row],[TotalPrice]]&gt;2000,"High Sales","Low Sales")</f>
        <v>High Sales</v>
      </c>
    </row>
    <row r="331" spans="1:13" x14ac:dyDescent="0.3">
      <c r="A331" t="s">
        <v>334</v>
      </c>
      <c r="B331" t="s">
        <v>1656</v>
      </c>
      <c r="C331" s="1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  <c r="K331" t="str">
        <f>TEXT(Table1[[#This Row],[PurchaseDate]],"mmm")</f>
        <v>Mar</v>
      </c>
      <c r="L331">
        <f>YEAR(Table1[[#This Row],[PurchaseDate]])</f>
        <v>2023</v>
      </c>
      <c r="M331" t="str">
        <f>IF(Table1[[#This Row],[TotalPrice]]&gt;2000,"High Sales","Low Sales")</f>
        <v>High Sales</v>
      </c>
    </row>
    <row r="332" spans="1:13" x14ac:dyDescent="0.3">
      <c r="A332" t="s">
        <v>335</v>
      </c>
      <c r="B332" t="s">
        <v>1653</v>
      </c>
      <c r="C332" s="1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  <c r="K332" t="str">
        <f>TEXT(Table1[[#This Row],[PurchaseDate]],"mmm")</f>
        <v>Oct</v>
      </c>
      <c r="L332">
        <f>YEAR(Table1[[#This Row],[PurchaseDate]])</f>
        <v>2023</v>
      </c>
      <c r="M332" t="str">
        <f>IF(Table1[[#This Row],[TotalPrice]]&gt;2000,"High Sales","Low Sales")</f>
        <v>Low Sales</v>
      </c>
    </row>
    <row r="333" spans="1:13" x14ac:dyDescent="0.3">
      <c r="A333" t="s">
        <v>336</v>
      </c>
      <c r="B333" t="s">
        <v>1657</v>
      </c>
      <c r="C333" s="1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  <c r="K333" t="str">
        <f>TEXT(Table1[[#This Row],[PurchaseDate]],"mmm")</f>
        <v>Apr</v>
      </c>
      <c r="L333">
        <f>YEAR(Table1[[#This Row],[PurchaseDate]])</f>
        <v>2025</v>
      </c>
      <c r="M333" t="str">
        <f>IF(Table1[[#This Row],[TotalPrice]]&gt;2000,"High Sales","Low Sales")</f>
        <v>Low Sales</v>
      </c>
    </row>
    <row r="334" spans="1:13" x14ac:dyDescent="0.3">
      <c r="A334" t="s">
        <v>337</v>
      </c>
      <c r="B334" t="s">
        <v>1654</v>
      </c>
      <c r="C334" s="1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  <c r="K334" t="str">
        <f>TEXT(Table1[[#This Row],[PurchaseDate]],"mmm")</f>
        <v>Jun</v>
      </c>
      <c r="L334">
        <f>YEAR(Table1[[#This Row],[PurchaseDate]])</f>
        <v>2024</v>
      </c>
      <c r="M334" t="str">
        <f>IF(Table1[[#This Row],[TotalPrice]]&gt;2000,"High Sales","Low Sales")</f>
        <v>Low Sales</v>
      </c>
    </row>
    <row r="335" spans="1:13" x14ac:dyDescent="0.3">
      <c r="A335" t="s">
        <v>338</v>
      </c>
      <c r="B335" t="s">
        <v>1656</v>
      </c>
      <c r="C335" s="1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  <c r="K335" t="str">
        <f>TEXT(Table1[[#This Row],[PurchaseDate]],"mmm")</f>
        <v>Jun</v>
      </c>
      <c r="L335">
        <f>YEAR(Table1[[#This Row],[PurchaseDate]])</f>
        <v>2023</v>
      </c>
      <c r="M335" t="str">
        <f>IF(Table1[[#This Row],[TotalPrice]]&gt;2000,"High Sales","Low Sales")</f>
        <v>High Sales</v>
      </c>
    </row>
    <row r="336" spans="1:13" x14ac:dyDescent="0.3">
      <c r="A336" t="s">
        <v>339</v>
      </c>
      <c r="B336" t="s">
        <v>1655</v>
      </c>
      <c r="C336" s="1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  <c r="K336" t="str">
        <f>TEXT(Table1[[#This Row],[PurchaseDate]],"mmm")</f>
        <v>Feb</v>
      </c>
      <c r="L336">
        <f>YEAR(Table1[[#This Row],[PurchaseDate]])</f>
        <v>2024</v>
      </c>
      <c r="M336" t="str">
        <f>IF(Table1[[#This Row],[TotalPrice]]&gt;2000,"High Sales","Low Sales")</f>
        <v>Low Sales</v>
      </c>
    </row>
    <row r="337" spans="1:13" x14ac:dyDescent="0.3">
      <c r="A337" t="s">
        <v>340</v>
      </c>
      <c r="B337" t="s">
        <v>1657</v>
      </c>
      <c r="C337" s="1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  <c r="K337" t="str">
        <f>TEXT(Table1[[#This Row],[PurchaseDate]],"mmm")</f>
        <v>May</v>
      </c>
      <c r="L337">
        <f>YEAR(Table1[[#This Row],[PurchaseDate]])</f>
        <v>2024</v>
      </c>
      <c r="M337" t="str">
        <f>IF(Table1[[#This Row],[TotalPrice]]&gt;2000,"High Sales","Low Sales")</f>
        <v>Low Sales</v>
      </c>
    </row>
    <row r="338" spans="1:13" x14ac:dyDescent="0.3">
      <c r="A338" t="s">
        <v>341</v>
      </c>
      <c r="B338" t="s">
        <v>1654</v>
      </c>
      <c r="C338" s="1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  <c r="K338" t="str">
        <f>TEXT(Table1[[#This Row],[PurchaseDate]],"mmm")</f>
        <v>Jun</v>
      </c>
      <c r="L338">
        <f>YEAR(Table1[[#This Row],[PurchaseDate]])</f>
        <v>2023</v>
      </c>
      <c r="M338" t="str">
        <f>IF(Table1[[#This Row],[TotalPrice]]&gt;2000,"High Sales","Low Sales")</f>
        <v>Low Sales</v>
      </c>
    </row>
    <row r="339" spans="1:13" x14ac:dyDescent="0.3">
      <c r="A339" t="s">
        <v>342</v>
      </c>
      <c r="B339" t="s">
        <v>1655</v>
      </c>
      <c r="C339" s="1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  <c r="K339" t="str">
        <f>TEXT(Table1[[#This Row],[PurchaseDate]],"mmm")</f>
        <v>Jun</v>
      </c>
      <c r="L339">
        <f>YEAR(Table1[[#This Row],[PurchaseDate]])</f>
        <v>2024</v>
      </c>
      <c r="M339" t="str">
        <f>IF(Table1[[#This Row],[TotalPrice]]&gt;2000,"High Sales","Low Sales")</f>
        <v>Low Sales</v>
      </c>
    </row>
    <row r="340" spans="1:13" x14ac:dyDescent="0.3">
      <c r="A340" t="s">
        <v>343</v>
      </c>
      <c r="B340" t="s">
        <v>1653</v>
      </c>
      <c r="C340" s="1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  <c r="K340" t="str">
        <f>TEXT(Table1[[#This Row],[PurchaseDate]],"mmm")</f>
        <v>Aug</v>
      </c>
      <c r="L340">
        <f>YEAR(Table1[[#This Row],[PurchaseDate]])</f>
        <v>2023</v>
      </c>
      <c r="M340" t="str">
        <f>IF(Table1[[#This Row],[TotalPrice]]&gt;2000,"High Sales","Low Sales")</f>
        <v>High Sales</v>
      </c>
    </row>
    <row r="341" spans="1:13" x14ac:dyDescent="0.3">
      <c r="A341" t="s">
        <v>344</v>
      </c>
      <c r="B341" t="s">
        <v>1652</v>
      </c>
      <c r="C341" s="1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  <c r="K341" t="str">
        <f>TEXT(Table1[[#This Row],[PurchaseDate]],"mmm")</f>
        <v>Jun</v>
      </c>
      <c r="L341">
        <f>YEAR(Table1[[#This Row],[PurchaseDate]])</f>
        <v>2025</v>
      </c>
      <c r="M341" t="str">
        <f>IF(Table1[[#This Row],[TotalPrice]]&gt;2000,"High Sales","Low Sales")</f>
        <v>Low Sales</v>
      </c>
    </row>
    <row r="342" spans="1:13" x14ac:dyDescent="0.3">
      <c r="A342" t="s">
        <v>345</v>
      </c>
      <c r="B342" t="s">
        <v>1654</v>
      </c>
      <c r="C342" s="1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  <c r="K342" t="str">
        <f>TEXT(Table1[[#This Row],[PurchaseDate]],"mmm")</f>
        <v>Dec</v>
      </c>
      <c r="L342">
        <f>YEAR(Table1[[#This Row],[PurchaseDate]])</f>
        <v>2024</v>
      </c>
      <c r="M342" t="str">
        <f>IF(Table1[[#This Row],[TotalPrice]]&gt;2000,"High Sales","Low Sales")</f>
        <v>Low Sales</v>
      </c>
    </row>
    <row r="343" spans="1:13" x14ac:dyDescent="0.3">
      <c r="A343" t="s">
        <v>346</v>
      </c>
      <c r="B343" t="s">
        <v>1654</v>
      </c>
      <c r="C343" s="1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  <c r="K343" t="str">
        <f>TEXT(Table1[[#This Row],[PurchaseDate]],"mmm")</f>
        <v>Feb</v>
      </c>
      <c r="L343">
        <f>YEAR(Table1[[#This Row],[PurchaseDate]])</f>
        <v>2025</v>
      </c>
      <c r="M343" t="str">
        <f>IF(Table1[[#This Row],[TotalPrice]]&gt;2000,"High Sales","Low Sales")</f>
        <v>Low Sales</v>
      </c>
    </row>
    <row r="344" spans="1:13" x14ac:dyDescent="0.3">
      <c r="A344" t="s">
        <v>347</v>
      </c>
      <c r="B344" t="s">
        <v>1658</v>
      </c>
      <c r="C344" s="1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  <c r="K344" t="str">
        <f>TEXT(Table1[[#This Row],[PurchaseDate]],"mmm")</f>
        <v>Apr</v>
      </c>
      <c r="L344">
        <f>YEAR(Table1[[#This Row],[PurchaseDate]])</f>
        <v>2024</v>
      </c>
      <c r="M344" t="str">
        <f>IF(Table1[[#This Row],[TotalPrice]]&gt;2000,"High Sales","Low Sales")</f>
        <v>Low Sales</v>
      </c>
    </row>
    <row r="345" spans="1:13" x14ac:dyDescent="0.3">
      <c r="A345" t="s">
        <v>158</v>
      </c>
      <c r="B345" t="s">
        <v>1652</v>
      </c>
      <c r="C345" s="1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  <c r="K345" t="str">
        <f>TEXT(Table1[[#This Row],[PurchaseDate]],"mmm")</f>
        <v>Apr</v>
      </c>
      <c r="L345">
        <f>YEAR(Table1[[#This Row],[PurchaseDate]])</f>
        <v>2023</v>
      </c>
      <c r="M345" t="str">
        <f>IF(Table1[[#This Row],[TotalPrice]]&gt;2000,"High Sales","Low Sales")</f>
        <v>Low Sales</v>
      </c>
    </row>
    <row r="346" spans="1:13" x14ac:dyDescent="0.3">
      <c r="A346" t="s">
        <v>348</v>
      </c>
      <c r="B346" t="s">
        <v>1653</v>
      </c>
      <c r="C346" s="1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  <c r="K346" t="str">
        <f>TEXT(Table1[[#This Row],[PurchaseDate]],"mmm")</f>
        <v>Apr</v>
      </c>
      <c r="L346">
        <f>YEAR(Table1[[#This Row],[PurchaseDate]])</f>
        <v>2024</v>
      </c>
      <c r="M346" t="str">
        <f>IF(Table1[[#This Row],[TotalPrice]]&gt;2000,"High Sales","Low Sales")</f>
        <v>Low Sales</v>
      </c>
    </row>
    <row r="347" spans="1:13" x14ac:dyDescent="0.3">
      <c r="A347" t="s">
        <v>349</v>
      </c>
      <c r="B347" t="s">
        <v>1658</v>
      </c>
      <c r="C347" s="1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  <c r="K347" t="str">
        <f>TEXT(Table1[[#This Row],[PurchaseDate]],"mmm")</f>
        <v>Apr</v>
      </c>
      <c r="L347">
        <f>YEAR(Table1[[#This Row],[PurchaseDate]])</f>
        <v>2025</v>
      </c>
      <c r="M347" t="str">
        <f>IF(Table1[[#This Row],[TotalPrice]]&gt;2000,"High Sales","Low Sales")</f>
        <v>Low Sales</v>
      </c>
    </row>
    <row r="348" spans="1:13" x14ac:dyDescent="0.3">
      <c r="A348" t="s">
        <v>350</v>
      </c>
      <c r="B348" t="s">
        <v>1655</v>
      </c>
      <c r="C348" s="1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  <c r="K348" t="str">
        <f>TEXT(Table1[[#This Row],[PurchaseDate]],"mmm")</f>
        <v>Oct</v>
      </c>
      <c r="L348">
        <f>YEAR(Table1[[#This Row],[PurchaseDate]])</f>
        <v>2024</v>
      </c>
      <c r="M348" t="str">
        <f>IF(Table1[[#This Row],[TotalPrice]]&gt;2000,"High Sales","Low Sales")</f>
        <v>Low Sales</v>
      </c>
    </row>
    <row r="349" spans="1:13" x14ac:dyDescent="0.3">
      <c r="A349" t="s">
        <v>351</v>
      </c>
      <c r="B349" t="s">
        <v>1655</v>
      </c>
      <c r="C349" s="1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  <c r="K349" t="str">
        <f>TEXT(Table1[[#This Row],[PurchaseDate]],"mmm")</f>
        <v>Apr</v>
      </c>
      <c r="L349">
        <f>YEAR(Table1[[#This Row],[PurchaseDate]])</f>
        <v>2023</v>
      </c>
      <c r="M349" t="str">
        <f>IF(Table1[[#This Row],[TotalPrice]]&gt;2000,"High Sales","Low Sales")</f>
        <v>Low Sales</v>
      </c>
    </row>
    <row r="350" spans="1:13" x14ac:dyDescent="0.3">
      <c r="A350" t="s">
        <v>352</v>
      </c>
      <c r="B350" t="s">
        <v>1653</v>
      </c>
      <c r="C350" s="1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  <c r="K350" t="str">
        <f>TEXT(Table1[[#This Row],[PurchaseDate]],"mmm")</f>
        <v>Oct</v>
      </c>
      <c r="L350">
        <f>YEAR(Table1[[#This Row],[PurchaseDate]])</f>
        <v>2023</v>
      </c>
      <c r="M350" t="str">
        <f>IF(Table1[[#This Row],[TotalPrice]]&gt;2000,"High Sales","Low Sales")</f>
        <v>Low Sales</v>
      </c>
    </row>
    <row r="351" spans="1:13" x14ac:dyDescent="0.3">
      <c r="A351" t="s">
        <v>353</v>
      </c>
      <c r="B351" t="s">
        <v>1655</v>
      </c>
      <c r="C351" s="1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  <c r="K351" t="str">
        <f>TEXT(Table1[[#This Row],[PurchaseDate]],"mmm")</f>
        <v>Jun</v>
      </c>
      <c r="L351">
        <f>YEAR(Table1[[#This Row],[PurchaseDate]])</f>
        <v>2024</v>
      </c>
      <c r="M351" t="str">
        <f>IF(Table1[[#This Row],[TotalPrice]]&gt;2000,"High Sales","Low Sales")</f>
        <v>High Sales</v>
      </c>
    </row>
    <row r="352" spans="1:13" x14ac:dyDescent="0.3">
      <c r="A352" t="s">
        <v>354</v>
      </c>
      <c r="B352" t="s">
        <v>1657</v>
      </c>
      <c r="C352" s="1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  <c r="K352" t="str">
        <f>TEXT(Table1[[#This Row],[PurchaseDate]],"mmm")</f>
        <v>Oct</v>
      </c>
      <c r="L352">
        <f>YEAR(Table1[[#This Row],[PurchaseDate]])</f>
        <v>2023</v>
      </c>
      <c r="M352" t="str">
        <f>IF(Table1[[#This Row],[TotalPrice]]&gt;2000,"High Sales","Low Sales")</f>
        <v>Low Sales</v>
      </c>
    </row>
    <row r="353" spans="1:13" x14ac:dyDescent="0.3">
      <c r="A353" t="s">
        <v>355</v>
      </c>
      <c r="B353" t="s">
        <v>1656</v>
      </c>
      <c r="C353" s="1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  <c r="K353" t="str">
        <f>TEXT(Table1[[#This Row],[PurchaseDate]],"mmm")</f>
        <v>May</v>
      </c>
      <c r="L353">
        <f>YEAR(Table1[[#This Row],[PurchaseDate]])</f>
        <v>2024</v>
      </c>
      <c r="M353" t="str">
        <f>IF(Table1[[#This Row],[TotalPrice]]&gt;2000,"High Sales","Low Sales")</f>
        <v>Low Sales</v>
      </c>
    </row>
    <row r="354" spans="1:13" x14ac:dyDescent="0.3">
      <c r="A354" t="s">
        <v>356</v>
      </c>
      <c r="B354" t="s">
        <v>1652</v>
      </c>
      <c r="C354" s="1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  <c r="K354" t="str">
        <f>TEXT(Table1[[#This Row],[PurchaseDate]],"mmm")</f>
        <v>Jan</v>
      </c>
      <c r="L354">
        <f>YEAR(Table1[[#This Row],[PurchaseDate]])</f>
        <v>2025</v>
      </c>
      <c r="M354" t="str">
        <f>IF(Table1[[#This Row],[TotalPrice]]&gt;2000,"High Sales","Low Sales")</f>
        <v>Low Sales</v>
      </c>
    </row>
    <row r="355" spans="1:13" x14ac:dyDescent="0.3">
      <c r="A355" t="s">
        <v>357</v>
      </c>
      <c r="B355" t="s">
        <v>1655</v>
      </c>
      <c r="C355" s="1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  <c r="K355" t="str">
        <f>TEXT(Table1[[#This Row],[PurchaseDate]],"mmm")</f>
        <v>Jul</v>
      </c>
      <c r="L355">
        <f>YEAR(Table1[[#This Row],[PurchaseDate]])</f>
        <v>2023</v>
      </c>
      <c r="M355" t="str">
        <f>IF(Table1[[#This Row],[TotalPrice]]&gt;2000,"High Sales","Low Sales")</f>
        <v>High Sales</v>
      </c>
    </row>
    <row r="356" spans="1:13" x14ac:dyDescent="0.3">
      <c r="A356" t="s">
        <v>358</v>
      </c>
      <c r="B356" t="s">
        <v>1652</v>
      </c>
      <c r="C356" s="1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  <c r="K356" t="str">
        <f>TEXT(Table1[[#This Row],[PurchaseDate]],"mmm")</f>
        <v>Feb</v>
      </c>
      <c r="L356">
        <f>YEAR(Table1[[#This Row],[PurchaseDate]])</f>
        <v>2025</v>
      </c>
      <c r="M356" t="str">
        <f>IF(Table1[[#This Row],[TotalPrice]]&gt;2000,"High Sales","Low Sales")</f>
        <v>Low Sales</v>
      </c>
    </row>
    <row r="357" spans="1:13" x14ac:dyDescent="0.3">
      <c r="A357" t="s">
        <v>359</v>
      </c>
      <c r="B357" t="s">
        <v>1658</v>
      </c>
      <c r="C357" s="1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  <c r="K357" t="str">
        <f>TEXT(Table1[[#This Row],[PurchaseDate]],"mmm")</f>
        <v>Feb</v>
      </c>
      <c r="L357">
        <f>YEAR(Table1[[#This Row],[PurchaseDate]])</f>
        <v>2024</v>
      </c>
      <c r="M357" t="str">
        <f>IF(Table1[[#This Row],[TotalPrice]]&gt;2000,"High Sales","Low Sales")</f>
        <v>Low Sales</v>
      </c>
    </row>
    <row r="358" spans="1:13" x14ac:dyDescent="0.3">
      <c r="A358" t="s">
        <v>360</v>
      </c>
      <c r="B358" t="s">
        <v>1653</v>
      </c>
      <c r="C358" s="1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  <c r="K358" t="str">
        <f>TEXT(Table1[[#This Row],[PurchaseDate]],"mmm")</f>
        <v>May</v>
      </c>
      <c r="L358">
        <f>YEAR(Table1[[#This Row],[PurchaseDate]])</f>
        <v>2023</v>
      </c>
      <c r="M358" t="str">
        <f>IF(Table1[[#This Row],[TotalPrice]]&gt;2000,"High Sales","Low Sales")</f>
        <v>Low Sales</v>
      </c>
    </row>
    <row r="359" spans="1:13" x14ac:dyDescent="0.3">
      <c r="A359" t="s">
        <v>361</v>
      </c>
      <c r="B359" t="s">
        <v>1656</v>
      </c>
      <c r="C359" s="1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  <c r="K359" t="str">
        <f>TEXT(Table1[[#This Row],[PurchaseDate]],"mmm")</f>
        <v>May</v>
      </c>
      <c r="L359">
        <f>YEAR(Table1[[#This Row],[PurchaseDate]])</f>
        <v>2023</v>
      </c>
      <c r="M359" t="str">
        <f>IF(Table1[[#This Row],[TotalPrice]]&gt;2000,"High Sales","Low Sales")</f>
        <v>High Sales</v>
      </c>
    </row>
    <row r="360" spans="1:13" x14ac:dyDescent="0.3">
      <c r="A360" t="s">
        <v>362</v>
      </c>
      <c r="B360" t="s">
        <v>1654</v>
      </c>
      <c r="C360" s="1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  <c r="K360" t="str">
        <f>TEXT(Table1[[#This Row],[PurchaseDate]],"mmm")</f>
        <v>Apr</v>
      </c>
      <c r="L360">
        <f>YEAR(Table1[[#This Row],[PurchaseDate]])</f>
        <v>2024</v>
      </c>
      <c r="M360" t="str">
        <f>IF(Table1[[#This Row],[TotalPrice]]&gt;2000,"High Sales","Low Sales")</f>
        <v>Low Sales</v>
      </c>
    </row>
    <row r="361" spans="1:13" x14ac:dyDescent="0.3">
      <c r="A361" t="s">
        <v>363</v>
      </c>
      <c r="B361" t="s">
        <v>1658</v>
      </c>
      <c r="C361" s="1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  <c r="K361" t="str">
        <f>TEXT(Table1[[#This Row],[PurchaseDate]],"mmm")</f>
        <v>Nov</v>
      </c>
      <c r="L361">
        <f>YEAR(Table1[[#This Row],[PurchaseDate]])</f>
        <v>2023</v>
      </c>
      <c r="M361" t="str">
        <f>IF(Table1[[#This Row],[TotalPrice]]&gt;2000,"High Sales","Low Sales")</f>
        <v>Low Sales</v>
      </c>
    </row>
    <row r="362" spans="1:13" x14ac:dyDescent="0.3">
      <c r="A362" t="s">
        <v>364</v>
      </c>
      <c r="B362" t="s">
        <v>1654</v>
      </c>
      <c r="C362" s="1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  <c r="K362" t="str">
        <f>TEXT(Table1[[#This Row],[PurchaseDate]],"mmm")</f>
        <v>Feb</v>
      </c>
      <c r="L362">
        <f>YEAR(Table1[[#This Row],[PurchaseDate]])</f>
        <v>2023</v>
      </c>
      <c r="M362" t="str">
        <f>IF(Table1[[#This Row],[TotalPrice]]&gt;2000,"High Sales","Low Sales")</f>
        <v>High Sales</v>
      </c>
    </row>
    <row r="363" spans="1:13" x14ac:dyDescent="0.3">
      <c r="A363" t="s">
        <v>365</v>
      </c>
      <c r="B363" t="s">
        <v>1657</v>
      </c>
      <c r="C363" s="1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  <c r="K363" t="str">
        <f>TEXT(Table1[[#This Row],[PurchaseDate]],"mmm")</f>
        <v>Jul</v>
      </c>
      <c r="L363">
        <f>YEAR(Table1[[#This Row],[PurchaseDate]])</f>
        <v>2023</v>
      </c>
      <c r="M363" t="str">
        <f>IF(Table1[[#This Row],[TotalPrice]]&gt;2000,"High Sales","Low Sales")</f>
        <v>Low Sales</v>
      </c>
    </row>
    <row r="364" spans="1:13" x14ac:dyDescent="0.3">
      <c r="A364" t="s">
        <v>366</v>
      </c>
      <c r="B364" t="s">
        <v>1657</v>
      </c>
      <c r="C364" s="1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  <c r="K364" t="str">
        <f>TEXT(Table1[[#This Row],[PurchaseDate]],"mmm")</f>
        <v>Jun</v>
      </c>
      <c r="L364">
        <f>YEAR(Table1[[#This Row],[PurchaseDate]])</f>
        <v>2023</v>
      </c>
      <c r="M364" t="str">
        <f>IF(Table1[[#This Row],[TotalPrice]]&gt;2000,"High Sales","Low Sales")</f>
        <v>Low Sales</v>
      </c>
    </row>
    <row r="365" spans="1:13" x14ac:dyDescent="0.3">
      <c r="A365" t="s">
        <v>367</v>
      </c>
      <c r="B365" t="s">
        <v>1653</v>
      </c>
      <c r="C365" s="1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  <c r="K365" t="str">
        <f>TEXT(Table1[[#This Row],[PurchaseDate]],"mmm")</f>
        <v>Feb</v>
      </c>
      <c r="L365">
        <f>YEAR(Table1[[#This Row],[PurchaseDate]])</f>
        <v>2025</v>
      </c>
      <c r="M365" t="str">
        <f>IF(Table1[[#This Row],[TotalPrice]]&gt;2000,"High Sales","Low Sales")</f>
        <v>Low Sales</v>
      </c>
    </row>
    <row r="366" spans="1:13" x14ac:dyDescent="0.3">
      <c r="A366" t="s">
        <v>368</v>
      </c>
      <c r="B366" t="s">
        <v>1657</v>
      </c>
      <c r="C366" s="1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  <c r="K366" t="str">
        <f>TEXT(Table1[[#This Row],[PurchaseDate]],"mmm")</f>
        <v>Jun</v>
      </c>
      <c r="L366">
        <f>YEAR(Table1[[#This Row],[PurchaseDate]])</f>
        <v>2024</v>
      </c>
      <c r="M366" t="str">
        <f>IF(Table1[[#This Row],[TotalPrice]]&gt;2000,"High Sales","Low Sales")</f>
        <v>High Sales</v>
      </c>
    </row>
    <row r="367" spans="1:13" x14ac:dyDescent="0.3">
      <c r="A367" t="s">
        <v>369</v>
      </c>
      <c r="B367" t="s">
        <v>1658</v>
      </c>
      <c r="C367" s="1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  <c r="K367" t="str">
        <f>TEXT(Table1[[#This Row],[PurchaseDate]],"mmm")</f>
        <v>Jan</v>
      </c>
      <c r="L367">
        <f>YEAR(Table1[[#This Row],[PurchaseDate]])</f>
        <v>2023</v>
      </c>
      <c r="M367" t="str">
        <f>IF(Table1[[#This Row],[TotalPrice]]&gt;2000,"High Sales","Low Sales")</f>
        <v>Low Sales</v>
      </c>
    </row>
    <row r="368" spans="1:13" x14ac:dyDescent="0.3">
      <c r="A368" t="s">
        <v>370</v>
      </c>
      <c r="B368" t="s">
        <v>1658</v>
      </c>
      <c r="C368" s="1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  <c r="K368" t="str">
        <f>TEXT(Table1[[#This Row],[PurchaseDate]],"mmm")</f>
        <v>Jul</v>
      </c>
      <c r="L368">
        <f>YEAR(Table1[[#This Row],[PurchaseDate]])</f>
        <v>2024</v>
      </c>
      <c r="M368" t="str">
        <f>IF(Table1[[#This Row],[TotalPrice]]&gt;2000,"High Sales","Low Sales")</f>
        <v>High Sales</v>
      </c>
    </row>
    <row r="369" spans="1:13" x14ac:dyDescent="0.3">
      <c r="A369" t="s">
        <v>371</v>
      </c>
      <c r="B369" t="s">
        <v>1655</v>
      </c>
      <c r="C369" s="1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  <c r="K369" t="str">
        <f>TEXT(Table1[[#This Row],[PurchaseDate]],"mmm")</f>
        <v>Nov</v>
      </c>
      <c r="L369">
        <f>YEAR(Table1[[#This Row],[PurchaseDate]])</f>
        <v>2023</v>
      </c>
      <c r="M369" t="str">
        <f>IF(Table1[[#This Row],[TotalPrice]]&gt;2000,"High Sales","Low Sales")</f>
        <v>Low Sales</v>
      </c>
    </row>
    <row r="370" spans="1:13" x14ac:dyDescent="0.3">
      <c r="A370" t="s">
        <v>372</v>
      </c>
      <c r="B370" t="s">
        <v>1656</v>
      </c>
      <c r="C370" s="1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  <c r="K370" t="str">
        <f>TEXT(Table1[[#This Row],[PurchaseDate]],"mmm")</f>
        <v>Sep</v>
      </c>
      <c r="L370">
        <f>YEAR(Table1[[#This Row],[PurchaseDate]])</f>
        <v>2023</v>
      </c>
      <c r="M370" t="str">
        <f>IF(Table1[[#This Row],[TotalPrice]]&gt;2000,"High Sales","Low Sales")</f>
        <v>High Sales</v>
      </c>
    </row>
    <row r="371" spans="1:13" x14ac:dyDescent="0.3">
      <c r="A371" t="s">
        <v>373</v>
      </c>
      <c r="B371" t="s">
        <v>1653</v>
      </c>
      <c r="C371" s="1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  <c r="K371" t="str">
        <f>TEXT(Table1[[#This Row],[PurchaseDate]],"mmm")</f>
        <v>Nov</v>
      </c>
      <c r="L371">
        <f>YEAR(Table1[[#This Row],[PurchaseDate]])</f>
        <v>2023</v>
      </c>
      <c r="M371" t="str">
        <f>IF(Table1[[#This Row],[TotalPrice]]&gt;2000,"High Sales","Low Sales")</f>
        <v>Low Sales</v>
      </c>
    </row>
    <row r="372" spans="1:13" x14ac:dyDescent="0.3">
      <c r="A372" t="s">
        <v>374</v>
      </c>
      <c r="B372" t="s">
        <v>1655</v>
      </c>
      <c r="C372" s="1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  <c r="K372" t="str">
        <f>TEXT(Table1[[#This Row],[PurchaseDate]],"mmm")</f>
        <v>Aug</v>
      </c>
      <c r="L372">
        <f>YEAR(Table1[[#This Row],[PurchaseDate]])</f>
        <v>2023</v>
      </c>
      <c r="M372" t="str">
        <f>IF(Table1[[#This Row],[TotalPrice]]&gt;2000,"High Sales","Low Sales")</f>
        <v>Low Sales</v>
      </c>
    </row>
    <row r="373" spans="1:13" x14ac:dyDescent="0.3">
      <c r="A373" t="s">
        <v>375</v>
      </c>
      <c r="B373" t="s">
        <v>1656</v>
      </c>
      <c r="C373" s="1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  <c r="K373" t="str">
        <f>TEXT(Table1[[#This Row],[PurchaseDate]],"mmm")</f>
        <v>Sep</v>
      </c>
      <c r="L373">
        <f>YEAR(Table1[[#This Row],[PurchaseDate]])</f>
        <v>2023</v>
      </c>
      <c r="M373" t="str">
        <f>IF(Table1[[#This Row],[TotalPrice]]&gt;2000,"High Sales","Low Sales")</f>
        <v>Low Sales</v>
      </c>
    </row>
    <row r="374" spans="1:13" x14ac:dyDescent="0.3">
      <c r="A374" t="s">
        <v>376</v>
      </c>
      <c r="B374" t="s">
        <v>1657</v>
      </c>
      <c r="C374" s="1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  <c r="K374" t="str">
        <f>TEXT(Table1[[#This Row],[PurchaseDate]],"mmm")</f>
        <v>Jun</v>
      </c>
      <c r="L374">
        <f>YEAR(Table1[[#This Row],[PurchaseDate]])</f>
        <v>2023</v>
      </c>
      <c r="M374" t="str">
        <f>IF(Table1[[#This Row],[TotalPrice]]&gt;2000,"High Sales","Low Sales")</f>
        <v>High Sales</v>
      </c>
    </row>
    <row r="375" spans="1:13" x14ac:dyDescent="0.3">
      <c r="A375" t="s">
        <v>377</v>
      </c>
      <c r="B375" t="s">
        <v>1656</v>
      </c>
      <c r="C375" s="1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  <c r="K375" t="str">
        <f>TEXT(Table1[[#This Row],[PurchaseDate]],"mmm")</f>
        <v>Aug</v>
      </c>
      <c r="L375">
        <f>YEAR(Table1[[#This Row],[PurchaseDate]])</f>
        <v>2023</v>
      </c>
      <c r="M375" t="str">
        <f>IF(Table1[[#This Row],[TotalPrice]]&gt;2000,"High Sales","Low Sales")</f>
        <v>Low Sales</v>
      </c>
    </row>
    <row r="376" spans="1:13" x14ac:dyDescent="0.3">
      <c r="A376" t="s">
        <v>378</v>
      </c>
      <c r="B376" t="s">
        <v>1655</v>
      </c>
      <c r="C376" s="1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  <c r="K376" t="str">
        <f>TEXT(Table1[[#This Row],[PurchaseDate]],"mmm")</f>
        <v>Aug</v>
      </c>
      <c r="L376">
        <f>YEAR(Table1[[#This Row],[PurchaseDate]])</f>
        <v>2024</v>
      </c>
      <c r="M376" t="str">
        <f>IF(Table1[[#This Row],[TotalPrice]]&gt;2000,"High Sales","Low Sales")</f>
        <v>Low Sales</v>
      </c>
    </row>
    <row r="377" spans="1:13" x14ac:dyDescent="0.3">
      <c r="A377" t="s">
        <v>379</v>
      </c>
      <c r="B377" t="s">
        <v>1652</v>
      </c>
      <c r="C377" s="1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  <c r="K377" t="str">
        <f>TEXT(Table1[[#This Row],[PurchaseDate]],"mmm")</f>
        <v>Dec</v>
      </c>
      <c r="L377">
        <f>YEAR(Table1[[#This Row],[PurchaseDate]])</f>
        <v>2024</v>
      </c>
      <c r="M377" t="str">
        <f>IF(Table1[[#This Row],[TotalPrice]]&gt;2000,"High Sales","Low Sales")</f>
        <v>High Sales</v>
      </c>
    </row>
    <row r="378" spans="1:13" x14ac:dyDescent="0.3">
      <c r="A378" t="s">
        <v>380</v>
      </c>
      <c r="B378" t="s">
        <v>1657</v>
      </c>
      <c r="C378" s="1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  <c r="K378" t="str">
        <f>TEXT(Table1[[#This Row],[PurchaseDate]],"mmm")</f>
        <v>Jan</v>
      </c>
      <c r="L378">
        <f>YEAR(Table1[[#This Row],[PurchaseDate]])</f>
        <v>2024</v>
      </c>
      <c r="M378" t="str">
        <f>IF(Table1[[#This Row],[TotalPrice]]&gt;2000,"High Sales","Low Sales")</f>
        <v>Low Sales</v>
      </c>
    </row>
    <row r="379" spans="1:13" x14ac:dyDescent="0.3">
      <c r="A379" t="s">
        <v>381</v>
      </c>
      <c r="B379" t="s">
        <v>1654</v>
      </c>
      <c r="C379" s="1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  <c r="K379" t="str">
        <f>TEXT(Table1[[#This Row],[PurchaseDate]],"mmm")</f>
        <v>Apr</v>
      </c>
      <c r="L379">
        <f>YEAR(Table1[[#This Row],[PurchaseDate]])</f>
        <v>2025</v>
      </c>
      <c r="M379" t="str">
        <f>IF(Table1[[#This Row],[TotalPrice]]&gt;2000,"High Sales","Low Sales")</f>
        <v>Low Sales</v>
      </c>
    </row>
    <row r="380" spans="1:13" x14ac:dyDescent="0.3">
      <c r="A380" t="s">
        <v>382</v>
      </c>
      <c r="B380" t="s">
        <v>1654</v>
      </c>
      <c r="C380" s="1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  <c r="K380" t="str">
        <f>TEXT(Table1[[#This Row],[PurchaseDate]],"mmm")</f>
        <v>Jun</v>
      </c>
      <c r="L380">
        <f>YEAR(Table1[[#This Row],[PurchaseDate]])</f>
        <v>2023</v>
      </c>
      <c r="M380" t="str">
        <f>IF(Table1[[#This Row],[TotalPrice]]&gt;2000,"High Sales","Low Sales")</f>
        <v>Low Sales</v>
      </c>
    </row>
    <row r="381" spans="1:13" x14ac:dyDescent="0.3">
      <c r="A381" t="s">
        <v>383</v>
      </c>
      <c r="B381" t="s">
        <v>1653</v>
      </c>
      <c r="C381" s="1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  <c r="K381" t="str">
        <f>TEXT(Table1[[#This Row],[PurchaseDate]],"mmm")</f>
        <v>May</v>
      </c>
      <c r="L381">
        <f>YEAR(Table1[[#This Row],[PurchaseDate]])</f>
        <v>2025</v>
      </c>
      <c r="M381" t="str">
        <f>IF(Table1[[#This Row],[TotalPrice]]&gt;2000,"High Sales","Low Sales")</f>
        <v>High Sales</v>
      </c>
    </row>
    <row r="382" spans="1:13" x14ac:dyDescent="0.3">
      <c r="A382" t="s">
        <v>336</v>
      </c>
      <c r="B382" t="s">
        <v>1658</v>
      </c>
      <c r="C382" s="1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  <c r="K382" t="str">
        <f>TEXT(Table1[[#This Row],[PurchaseDate]],"mmm")</f>
        <v>Apr</v>
      </c>
      <c r="L382">
        <f>YEAR(Table1[[#This Row],[PurchaseDate]])</f>
        <v>2025</v>
      </c>
      <c r="M382" t="str">
        <f>IF(Table1[[#This Row],[TotalPrice]]&gt;2000,"High Sales","Low Sales")</f>
        <v>High Sales</v>
      </c>
    </row>
    <row r="383" spans="1:13" x14ac:dyDescent="0.3">
      <c r="A383" t="s">
        <v>384</v>
      </c>
      <c r="B383" t="s">
        <v>1656</v>
      </c>
      <c r="C383" s="1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  <c r="K383" t="str">
        <f>TEXT(Table1[[#This Row],[PurchaseDate]],"mmm")</f>
        <v>Mar</v>
      </c>
      <c r="L383">
        <f>YEAR(Table1[[#This Row],[PurchaseDate]])</f>
        <v>2023</v>
      </c>
      <c r="M383" t="str">
        <f>IF(Table1[[#This Row],[TotalPrice]]&gt;2000,"High Sales","Low Sales")</f>
        <v>Low Sales</v>
      </c>
    </row>
    <row r="384" spans="1:13" x14ac:dyDescent="0.3">
      <c r="A384" t="s">
        <v>385</v>
      </c>
      <c r="B384" t="s">
        <v>1658</v>
      </c>
      <c r="C384" s="1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  <c r="K384" t="str">
        <f>TEXT(Table1[[#This Row],[PurchaseDate]],"mmm")</f>
        <v>Feb</v>
      </c>
      <c r="L384">
        <f>YEAR(Table1[[#This Row],[PurchaseDate]])</f>
        <v>2024</v>
      </c>
      <c r="M384" t="str">
        <f>IF(Table1[[#This Row],[TotalPrice]]&gt;2000,"High Sales","Low Sales")</f>
        <v>Low Sales</v>
      </c>
    </row>
    <row r="385" spans="1:13" x14ac:dyDescent="0.3">
      <c r="A385" t="s">
        <v>386</v>
      </c>
      <c r="B385" t="s">
        <v>1652</v>
      </c>
      <c r="C385" s="1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  <c r="K385" t="str">
        <f>TEXT(Table1[[#This Row],[PurchaseDate]],"mmm")</f>
        <v>Jul</v>
      </c>
      <c r="L385">
        <f>YEAR(Table1[[#This Row],[PurchaseDate]])</f>
        <v>2023</v>
      </c>
      <c r="M385" t="str">
        <f>IF(Table1[[#This Row],[TotalPrice]]&gt;2000,"High Sales","Low Sales")</f>
        <v>Low Sales</v>
      </c>
    </row>
    <row r="386" spans="1:13" x14ac:dyDescent="0.3">
      <c r="A386" t="s">
        <v>387</v>
      </c>
      <c r="B386" t="s">
        <v>1655</v>
      </c>
      <c r="C386" s="1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  <c r="K386" t="str">
        <f>TEXT(Table1[[#This Row],[PurchaseDate]],"mmm")</f>
        <v>Jan</v>
      </c>
      <c r="L386">
        <f>YEAR(Table1[[#This Row],[PurchaseDate]])</f>
        <v>2023</v>
      </c>
      <c r="M386" t="str">
        <f>IF(Table1[[#This Row],[TotalPrice]]&gt;2000,"High Sales","Low Sales")</f>
        <v>High Sales</v>
      </c>
    </row>
    <row r="387" spans="1:13" x14ac:dyDescent="0.3">
      <c r="A387" t="s">
        <v>388</v>
      </c>
      <c r="B387" t="s">
        <v>1652</v>
      </c>
      <c r="C387" s="1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  <c r="K387" t="str">
        <f>TEXT(Table1[[#This Row],[PurchaseDate]],"mmm")</f>
        <v>Feb</v>
      </c>
      <c r="L387">
        <f>YEAR(Table1[[#This Row],[PurchaseDate]])</f>
        <v>2024</v>
      </c>
      <c r="M387" t="str">
        <f>IF(Table1[[#This Row],[TotalPrice]]&gt;2000,"High Sales","Low Sales")</f>
        <v>Low Sales</v>
      </c>
    </row>
    <row r="388" spans="1:13" x14ac:dyDescent="0.3">
      <c r="A388" t="s">
        <v>389</v>
      </c>
      <c r="B388" t="s">
        <v>1655</v>
      </c>
      <c r="C388" s="1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  <c r="K388" t="str">
        <f>TEXT(Table1[[#This Row],[PurchaseDate]],"mmm")</f>
        <v>Nov</v>
      </c>
      <c r="L388">
        <f>YEAR(Table1[[#This Row],[PurchaseDate]])</f>
        <v>2024</v>
      </c>
      <c r="M388" t="str">
        <f>IF(Table1[[#This Row],[TotalPrice]]&gt;2000,"High Sales","Low Sales")</f>
        <v>High Sales</v>
      </c>
    </row>
    <row r="389" spans="1:13" x14ac:dyDescent="0.3">
      <c r="A389" t="s">
        <v>390</v>
      </c>
      <c r="B389" t="s">
        <v>1654</v>
      </c>
      <c r="C389" s="1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  <c r="K389" t="str">
        <f>TEXT(Table1[[#This Row],[PurchaseDate]],"mmm")</f>
        <v>Jun</v>
      </c>
      <c r="L389">
        <f>YEAR(Table1[[#This Row],[PurchaseDate]])</f>
        <v>2023</v>
      </c>
      <c r="M389" t="str">
        <f>IF(Table1[[#This Row],[TotalPrice]]&gt;2000,"High Sales","Low Sales")</f>
        <v>Low Sales</v>
      </c>
    </row>
    <row r="390" spans="1:13" x14ac:dyDescent="0.3">
      <c r="A390" t="s">
        <v>391</v>
      </c>
      <c r="B390" t="s">
        <v>1654</v>
      </c>
      <c r="C390" s="1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  <c r="K390" t="str">
        <f>TEXT(Table1[[#This Row],[PurchaseDate]],"mmm")</f>
        <v>Jan</v>
      </c>
      <c r="L390">
        <f>YEAR(Table1[[#This Row],[PurchaseDate]])</f>
        <v>2025</v>
      </c>
      <c r="M390" t="str">
        <f>IF(Table1[[#This Row],[TotalPrice]]&gt;2000,"High Sales","Low Sales")</f>
        <v>Low Sales</v>
      </c>
    </row>
    <row r="391" spans="1:13" x14ac:dyDescent="0.3">
      <c r="A391" t="s">
        <v>392</v>
      </c>
      <c r="B391" t="s">
        <v>1654</v>
      </c>
      <c r="C391" s="1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  <c r="K391" t="str">
        <f>TEXT(Table1[[#This Row],[PurchaseDate]],"mmm")</f>
        <v>Apr</v>
      </c>
      <c r="L391">
        <f>YEAR(Table1[[#This Row],[PurchaseDate]])</f>
        <v>2024</v>
      </c>
      <c r="M391" t="str">
        <f>IF(Table1[[#This Row],[TotalPrice]]&gt;2000,"High Sales","Low Sales")</f>
        <v>Low Sales</v>
      </c>
    </row>
    <row r="392" spans="1:13" x14ac:dyDescent="0.3">
      <c r="A392" t="s">
        <v>393</v>
      </c>
      <c r="B392" t="s">
        <v>1655</v>
      </c>
      <c r="C392" s="1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  <c r="K392" t="str">
        <f>TEXT(Table1[[#This Row],[PurchaseDate]],"mmm")</f>
        <v>May</v>
      </c>
      <c r="L392">
        <f>YEAR(Table1[[#This Row],[PurchaseDate]])</f>
        <v>2023</v>
      </c>
      <c r="M392" t="str">
        <f>IF(Table1[[#This Row],[TotalPrice]]&gt;2000,"High Sales","Low Sales")</f>
        <v>Low Sales</v>
      </c>
    </row>
    <row r="393" spans="1:13" x14ac:dyDescent="0.3">
      <c r="A393" t="s">
        <v>394</v>
      </c>
      <c r="B393" t="s">
        <v>1655</v>
      </c>
      <c r="C393" s="1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  <c r="K393" t="str">
        <f>TEXT(Table1[[#This Row],[PurchaseDate]],"mmm")</f>
        <v>Jun</v>
      </c>
      <c r="L393">
        <f>YEAR(Table1[[#This Row],[PurchaseDate]])</f>
        <v>2024</v>
      </c>
      <c r="M393" t="str">
        <f>IF(Table1[[#This Row],[TotalPrice]]&gt;2000,"High Sales","Low Sales")</f>
        <v>High Sales</v>
      </c>
    </row>
    <row r="394" spans="1:13" x14ac:dyDescent="0.3">
      <c r="A394" t="s">
        <v>395</v>
      </c>
      <c r="B394" t="s">
        <v>1655</v>
      </c>
      <c r="C394" s="1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  <c r="K394" t="str">
        <f>TEXT(Table1[[#This Row],[PurchaseDate]],"mmm")</f>
        <v>Jun</v>
      </c>
      <c r="L394">
        <f>YEAR(Table1[[#This Row],[PurchaseDate]])</f>
        <v>2023</v>
      </c>
      <c r="M394" t="str">
        <f>IF(Table1[[#This Row],[TotalPrice]]&gt;2000,"High Sales","Low Sales")</f>
        <v>Low Sales</v>
      </c>
    </row>
    <row r="395" spans="1:13" x14ac:dyDescent="0.3">
      <c r="A395" t="s">
        <v>396</v>
      </c>
      <c r="B395" t="s">
        <v>1653</v>
      </c>
      <c r="C395" s="1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  <c r="K395" t="str">
        <f>TEXT(Table1[[#This Row],[PurchaseDate]],"mmm")</f>
        <v>Jan</v>
      </c>
      <c r="L395">
        <f>YEAR(Table1[[#This Row],[PurchaseDate]])</f>
        <v>2024</v>
      </c>
      <c r="M395" t="str">
        <f>IF(Table1[[#This Row],[TotalPrice]]&gt;2000,"High Sales","Low Sales")</f>
        <v>Low Sales</v>
      </c>
    </row>
    <row r="396" spans="1:13" x14ac:dyDescent="0.3">
      <c r="A396" t="s">
        <v>397</v>
      </c>
      <c r="B396" t="s">
        <v>1657</v>
      </c>
      <c r="C396" s="1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  <c r="K396" t="str">
        <f>TEXT(Table1[[#This Row],[PurchaseDate]],"mmm")</f>
        <v>Feb</v>
      </c>
      <c r="L396">
        <f>YEAR(Table1[[#This Row],[PurchaseDate]])</f>
        <v>2025</v>
      </c>
      <c r="M396" t="str">
        <f>IF(Table1[[#This Row],[TotalPrice]]&gt;2000,"High Sales","Low Sales")</f>
        <v>Low Sales</v>
      </c>
    </row>
    <row r="397" spans="1:13" x14ac:dyDescent="0.3">
      <c r="A397" t="s">
        <v>398</v>
      </c>
      <c r="B397" t="s">
        <v>1652</v>
      </c>
      <c r="C397" s="1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  <c r="K397" t="str">
        <f>TEXT(Table1[[#This Row],[PurchaseDate]],"mmm")</f>
        <v>Jan</v>
      </c>
      <c r="L397">
        <f>YEAR(Table1[[#This Row],[PurchaseDate]])</f>
        <v>2024</v>
      </c>
      <c r="M397" t="str">
        <f>IF(Table1[[#This Row],[TotalPrice]]&gt;2000,"High Sales","Low Sales")</f>
        <v>Low Sales</v>
      </c>
    </row>
    <row r="398" spans="1:13" x14ac:dyDescent="0.3">
      <c r="A398" t="s">
        <v>399</v>
      </c>
      <c r="B398" t="s">
        <v>1657</v>
      </c>
      <c r="C398" s="1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  <c r="K398" t="str">
        <f>TEXT(Table1[[#This Row],[PurchaseDate]],"mmm")</f>
        <v>Jan</v>
      </c>
      <c r="L398">
        <f>YEAR(Table1[[#This Row],[PurchaseDate]])</f>
        <v>2025</v>
      </c>
      <c r="M398" t="str">
        <f>IF(Table1[[#This Row],[TotalPrice]]&gt;2000,"High Sales","Low Sales")</f>
        <v>Low Sales</v>
      </c>
    </row>
    <row r="399" spans="1:13" x14ac:dyDescent="0.3">
      <c r="A399" t="s">
        <v>400</v>
      </c>
      <c r="B399" t="s">
        <v>1655</v>
      </c>
      <c r="C399" s="1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  <c r="K399" t="str">
        <f>TEXT(Table1[[#This Row],[PurchaseDate]],"mmm")</f>
        <v>Nov</v>
      </c>
      <c r="L399">
        <f>YEAR(Table1[[#This Row],[PurchaseDate]])</f>
        <v>2023</v>
      </c>
      <c r="M399" t="str">
        <f>IF(Table1[[#This Row],[TotalPrice]]&gt;2000,"High Sales","Low Sales")</f>
        <v>High Sales</v>
      </c>
    </row>
    <row r="400" spans="1:13" x14ac:dyDescent="0.3">
      <c r="A400" t="s">
        <v>260</v>
      </c>
      <c r="B400" t="s">
        <v>1653</v>
      </c>
      <c r="C400" s="1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  <c r="K400" t="str">
        <f>TEXT(Table1[[#This Row],[PurchaseDate]],"mmm")</f>
        <v>Jan</v>
      </c>
      <c r="L400">
        <f>YEAR(Table1[[#This Row],[PurchaseDate]])</f>
        <v>2023</v>
      </c>
      <c r="M400" t="str">
        <f>IF(Table1[[#This Row],[TotalPrice]]&gt;2000,"High Sales","Low Sales")</f>
        <v>Low Sales</v>
      </c>
    </row>
    <row r="401" spans="1:13" x14ac:dyDescent="0.3">
      <c r="A401" t="s">
        <v>401</v>
      </c>
      <c r="B401" t="s">
        <v>1653</v>
      </c>
      <c r="C401" s="1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  <c r="K401" t="str">
        <f>TEXT(Table1[[#This Row],[PurchaseDate]],"mmm")</f>
        <v>Apr</v>
      </c>
      <c r="L401">
        <f>YEAR(Table1[[#This Row],[PurchaseDate]])</f>
        <v>2023</v>
      </c>
      <c r="M401" t="str">
        <f>IF(Table1[[#This Row],[TotalPrice]]&gt;2000,"High Sales","Low Sales")</f>
        <v>Low Sales</v>
      </c>
    </row>
    <row r="402" spans="1:13" x14ac:dyDescent="0.3">
      <c r="A402" t="s">
        <v>402</v>
      </c>
      <c r="B402" t="s">
        <v>1658</v>
      </c>
      <c r="C402" s="1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  <c r="K402" t="str">
        <f>TEXT(Table1[[#This Row],[PurchaseDate]],"mmm")</f>
        <v>Sep</v>
      </c>
      <c r="L402">
        <f>YEAR(Table1[[#This Row],[PurchaseDate]])</f>
        <v>2024</v>
      </c>
      <c r="M402" t="str">
        <f>IF(Table1[[#This Row],[TotalPrice]]&gt;2000,"High Sales","Low Sales")</f>
        <v>Low Sales</v>
      </c>
    </row>
    <row r="403" spans="1:13" x14ac:dyDescent="0.3">
      <c r="A403" t="s">
        <v>403</v>
      </c>
      <c r="B403" t="s">
        <v>1656</v>
      </c>
      <c r="C403" s="1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  <c r="K403" t="str">
        <f>TEXT(Table1[[#This Row],[PurchaseDate]],"mmm")</f>
        <v>May</v>
      </c>
      <c r="L403">
        <f>YEAR(Table1[[#This Row],[PurchaseDate]])</f>
        <v>2024</v>
      </c>
      <c r="M403" t="str">
        <f>IF(Table1[[#This Row],[TotalPrice]]&gt;2000,"High Sales","Low Sales")</f>
        <v>High Sales</v>
      </c>
    </row>
    <row r="404" spans="1:13" x14ac:dyDescent="0.3">
      <c r="A404" t="s">
        <v>404</v>
      </c>
      <c r="B404" t="s">
        <v>1656</v>
      </c>
      <c r="C404" s="1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  <c r="K404" t="str">
        <f>TEXT(Table1[[#This Row],[PurchaseDate]],"mmm")</f>
        <v>Aug</v>
      </c>
      <c r="L404">
        <f>YEAR(Table1[[#This Row],[PurchaseDate]])</f>
        <v>2024</v>
      </c>
      <c r="M404" t="str">
        <f>IF(Table1[[#This Row],[TotalPrice]]&gt;2000,"High Sales","Low Sales")</f>
        <v>Low Sales</v>
      </c>
    </row>
    <row r="405" spans="1:13" x14ac:dyDescent="0.3">
      <c r="A405" t="s">
        <v>405</v>
      </c>
      <c r="B405" t="s">
        <v>1656</v>
      </c>
      <c r="C405" s="1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  <c r="K405" t="str">
        <f>TEXT(Table1[[#This Row],[PurchaseDate]],"mmm")</f>
        <v>Jul</v>
      </c>
      <c r="L405">
        <f>YEAR(Table1[[#This Row],[PurchaseDate]])</f>
        <v>2023</v>
      </c>
      <c r="M405" t="str">
        <f>IF(Table1[[#This Row],[TotalPrice]]&gt;2000,"High Sales","Low Sales")</f>
        <v>Low Sales</v>
      </c>
    </row>
    <row r="406" spans="1:13" x14ac:dyDescent="0.3">
      <c r="A406" t="s">
        <v>406</v>
      </c>
      <c r="B406" t="s">
        <v>1655</v>
      </c>
      <c r="C406" s="1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  <c r="K406" t="str">
        <f>TEXT(Table1[[#This Row],[PurchaseDate]],"mmm")</f>
        <v>Jan</v>
      </c>
      <c r="L406">
        <f>YEAR(Table1[[#This Row],[PurchaseDate]])</f>
        <v>2023</v>
      </c>
      <c r="M406" t="str">
        <f>IF(Table1[[#This Row],[TotalPrice]]&gt;2000,"High Sales","Low Sales")</f>
        <v>Low Sales</v>
      </c>
    </row>
    <row r="407" spans="1:13" x14ac:dyDescent="0.3">
      <c r="A407" t="s">
        <v>407</v>
      </c>
      <c r="B407" t="s">
        <v>1653</v>
      </c>
      <c r="C407" s="1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  <c r="K407" t="str">
        <f>TEXT(Table1[[#This Row],[PurchaseDate]],"mmm")</f>
        <v>Apr</v>
      </c>
      <c r="L407">
        <f>YEAR(Table1[[#This Row],[PurchaseDate]])</f>
        <v>2025</v>
      </c>
      <c r="M407" t="str">
        <f>IF(Table1[[#This Row],[TotalPrice]]&gt;2000,"High Sales","Low Sales")</f>
        <v>Low Sales</v>
      </c>
    </row>
    <row r="408" spans="1:13" x14ac:dyDescent="0.3">
      <c r="A408" t="s">
        <v>408</v>
      </c>
      <c r="B408" t="s">
        <v>1655</v>
      </c>
      <c r="C408" s="1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  <c r="K408" t="str">
        <f>TEXT(Table1[[#This Row],[PurchaseDate]],"mmm")</f>
        <v>Oct</v>
      </c>
      <c r="L408">
        <f>YEAR(Table1[[#This Row],[PurchaseDate]])</f>
        <v>2024</v>
      </c>
      <c r="M408" t="str">
        <f>IF(Table1[[#This Row],[TotalPrice]]&gt;2000,"High Sales","Low Sales")</f>
        <v>High Sales</v>
      </c>
    </row>
    <row r="409" spans="1:13" x14ac:dyDescent="0.3">
      <c r="A409" t="s">
        <v>409</v>
      </c>
      <c r="B409" t="s">
        <v>1656</v>
      </c>
      <c r="C409" s="1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  <c r="K409" t="str">
        <f>TEXT(Table1[[#This Row],[PurchaseDate]],"mmm")</f>
        <v>May</v>
      </c>
      <c r="L409">
        <f>YEAR(Table1[[#This Row],[PurchaseDate]])</f>
        <v>2024</v>
      </c>
      <c r="M409" t="str">
        <f>IF(Table1[[#This Row],[TotalPrice]]&gt;2000,"High Sales","Low Sales")</f>
        <v>Low Sales</v>
      </c>
    </row>
    <row r="410" spans="1:13" x14ac:dyDescent="0.3">
      <c r="A410" t="s">
        <v>410</v>
      </c>
      <c r="B410" t="s">
        <v>1654</v>
      </c>
      <c r="C410" s="1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  <c r="K410" t="str">
        <f>TEXT(Table1[[#This Row],[PurchaseDate]],"mmm")</f>
        <v>May</v>
      </c>
      <c r="L410">
        <f>YEAR(Table1[[#This Row],[PurchaseDate]])</f>
        <v>2024</v>
      </c>
      <c r="M410" t="str">
        <f>IF(Table1[[#This Row],[TotalPrice]]&gt;2000,"High Sales","Low Sales")</f>
        <v>Low Sales</v>
      </c>
    </row>
    <row r="411" spans="1:13" x14ac:dyDescent="0.3">
      <c r="A411" t="s">
        <v>411</v>
      </c>
      <c r="B411" t="s">
        <v>1653</v>
      </c>
      <c r="C411" s="1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  <c r="K411" t="str">
        <f>TEXT(Table1[[#This Row],[PurchaseDate]],"mmm")</f>
        <v>May</v>
      </c>
      <c r="L411">
        <f>YEAR(Table1[[#This Row],[PurchaseDate]])</f>
        <v>2023</v>
      </c>
      <c r="M411" t="str">
        <f>IF(Table1[[#This Row],[TotalPrice]]&gt;2000,"High Sales","Low Sales")</f>
        <v>High Sales</v>
      </c>
    </row>
    <row r="412" spans="1:13" x14ac:dyDescent="0.3">
      <c r="A412" t="s">
        <v>412</v>
      </c>
      <c r="B412" t="s">
        <v>1653</v>
      </c>
      <c r="C412" s="1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  <c r="K412" t="str">
        <f>TEXT(Table1[[#This Row],[PurchaseDate]],"mmm")</f>
        <v>Jun</v>
      </c>
      <c r="L412">
        <f>YEAR(Table1[[#This Row],[PurchaseDate]])</f>
        <v>2024</v>
      </c>
      <c r="M412" t="str">
        <f>IF(Table1[[#This Row],[TotalPrice]]&gt;2000,"High Sales","Low Sales")</f>
        <v>High Sales</v>
      </c>
    </row>
    <row r="413" spans="1:13" x14ac:dyDescent="0.3">
      <c r="A413" t="s">
        <v>413</v>
      </c>
      <c r="B413" t="s">
        <v>1655</v>
      </c>
      <c r="C413" s="1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  <c r="K413" t="str">
        <f>TEXT(Table1[[#This Row],[PurchaseDate]],"mmm")</f>
        <v>Dec</v>
      </c>
      <c r="L413">
        <f>YEAR(Table1[[#This Row],[PurchaseDate]])</f>
        <v>2023</v>
      </c>
      <c r="M413" t="str">
        <f>IF(Table1[[#This Row],[TotalPrice]]&gt;2000,"High Sales","Low Sales")</f>
        <v>Low Sales</v>
      </c>
    </row>
    <row r="414" spans="1:13" x14ac:dyDescent="0.3">
      <c r="A414" t="s">
        <v>414</v>
      </c>
      <c r="B414" t="s">
        <v>1653</v>
      </c>
      <c r="C414" s="1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  <c r="K414" t="str">
        <f>TEXT(Table1[[#This Row],[PurchaseDate]],"mmm")</f>
        <v>Aug</v>
      </c>
      <c r="L414">
        <f>YEAR(Table1[[#This Row],[PurchaseDate]])</f>
        <v>2024</v>
      </c>
      <c r="M414" t="str">
        <f>IF(Table1[[#This Row],[TotalPrice]]&gt;2000,"High Sales","Low Sales")</f>
        <v>High Sales</v>
      </c>
    </row>
    <row r="415" spans="1:13" x14ac:dyDescent="0.3">
      <c r="A415" t="s">
        <v>415</v>
      </c>
      <c r="B415" t="s">
        <v>1652</v>
      </c>
      <c r="C415" s="1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  <c r="K415" t="str">
        <f>TEXT(Table1[[#This Row],[PurchaseDate]],"mmm")</f>
        <v>May</v>
      </c>
      <c r="L415">
        <f>YEAR(Table1[[#This Row],[PurchaseDate]])</f>
        <v>2025</v>
      </c>
      <c r="M415" t="str">
        <f>IF(Table1[[#This Row],[TotalPrice]]&gt;2000,"High Sales","Low Sales")</f>
        <v>Low Sales</v>
      </c>
    </row>
    <row r="416" spans="1:13" x14ac:dyDescent="0.3">
      <c r="A416" t="s">
        <v>416</v>
      </c>
      <c r="B416" t="s">
        <v>1656</v>
      </c>
      <c r="C416" s="1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  <c r="K416" t="str">
        <f>TEXT(Table1[[#This Row],[PurchaseDate]],"mmm")</f>
        <v>May</v>
      </c>
      <c r="L416">
        <f>YEAR(Table1[[#This Row],[PurchaseDate]])</f>
        <v>2024</v>
      </c>
      <c r="M416" t="str">
        <f>IF(Table1[[#This Row],[TotalPrice]]&gt;2000,"High Sales","Low Sales")</f>
        <v>Low Sales</v>
      </c>
    </row>
    <row r="417" spans="1:13" x14ac:dyDescent="0.3">
      <c r="A417" t="s">
        <v>417</v>
      </c>
      <c r="B417" t="s">
        <v>1655</v>
      </c>
      <c r="C417" s="1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  <c r="K417" t="str">
        <f>TEXT(Table1[[#This Row],[PurchaseDate]],"mmm")</f>
        <v>Apr</v>
      </c>
      <c r="L417">
        <f>YEAR(Table1[[#This Row],[PurchaseDate]])</f>
        <v>2025</v>
      </c>
      <c r="M417" t="str">
        <f>IF(Table1[[#This Row],[TotalPrice]]&gt;2000,"High Sales","Low Sales")</f>
        <v>Low Sales</v>
      </c>
    </row>
    <row r="418" spans="1:13" x14ac:dyDescent="0.3">
      <c r="A418" t="s">
        <v>418</v>
      </c>
      <c r="B418" t="s">
        <v>1653</v>
      </c>
      <c r="C418" s="1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  <c r="K418" t="str">
        <f>TEXT(Table1[[#This Row],[PurchaseDate]],"mmm")</f>
        <v>Dec</v>
      </c>
      <c r="L418">
        <f>YEAR(Table1[[#This Row],[PurchaseDate]])</f>
        <v>2023</v>
      </c>
      <c r="M418" t="str">
        <f>IF(Table1[[#This Row],[TotalPrice]]&gt;2000,"High Sales","Low Sales")</f>
        <v>Low Sales</v>
      </c>
    </row>
    <row r="419" spans="1:13" x14ac:dyDescent="0.3">
      <c r="A419" t="s">
        <v>419</v>
      </c>
      <c r="B419" t="s">
        <v>1655</v>
      </c>
      <c r="C419" s="1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  <c r="K419" t="str">
        <f>TEXT(Table1[[#This Row],[PurchaseDate]],"mmm")</f>
        <v>Mar</v>
      </c>
      <c r="L419">
        <f>YEAR(Table1[[#This Row],[PurchaseDate]])</f>
        <v>2023</v>
      </c>
      <c r="M419" t="str">
        <f>IF(Table1[[#This Row],[TotalPrice]]&gt;2000,"High Sales","Low Sales")</f>
        <v>Low Sales</v>
      </c>
    </row>
    <row r="420" spans="1:13" x14ac:dyDescent="0.3">
      <c r="A420" t="s">
        <v>420</v>
      </c>
      <c r="B420" t="s">
        <v>1653</v>
      </c>
      <c r="C420" s="1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  <c r="K420" t="str">
        <f>TEXT(Table1[[#This Row],[PurchaseDate]],"mmm")</f>
        <v>Feb</v>
      </c>
      <c r="L420">
        <f>YEAR(Table1[[#This Row],[PurchaseDate]])</f>
        <v>2024</v>
      </c>
      <c r="M420" t="str">
        <f>IF(Table1[[#This Row],[TotalPrice]]&gt;2000,"High Sales","Low Sales")</f>
        <v>Low Sales</v>
      </c>
    </row>
    <row r="421" spans="1:13" x14ac:dyDescent="0.3">
      <c r="A421" t="s">
        <v>421</v>
      </c>
      <c r="B421" t="s">
        <v>1653</v>
      </c>
      <c r="C421" s="1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  <c r="K421" t="str">
        <f>TEXT(Table1[[#This Row],[PurchaseDate]],"mmm")</f>
        <v>Nov</v>
      </c>
      <c r="L421">
        <f>YEAR(Table1[[#This Row],[PurchaseDate]])</f>
        <v>2023</v>
      </c>
      <c r="M421" t="str">
        <f>IF(Table1[[#This Row],[TotalPrice]]&gt;2000,"High Sales","Low Sales")</f>
        <v>High Sales</v>
      </c>
    </row>
    <row r="422" spans="1:13" x14ac:dyDescent="0.3">
      <c r="A422" t="s">
        <v>422</v>
      </c>
      <c r="B422" t="s">
        <v>1654</v>
      </c>
      <c r="C422" s="1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  <c r="K422" t="str">
        <f>TEXT(Table1[[#This Row],[PurchaseDate]],"mmm")</f>
        <v>Feb</v>
      </c>
      <c r="L422">
        <f>YEAR(Table1[[#This Row],[PurchaseDate]])</f>
        <v>2023</v>
      </c>
      <c r="M422" t="str">
        <f>IF(Table1[[#This Row],[TotalPrice]]&gt;2000,"High Sales","Low Sales")</f>
        <v>Low Sales</v>
      </c>
    </row>
    <row r="423" spans="1:13" x14ac:dyDescent="0.3">
      <c r="A423" t="s">
        <v>423</v>
      </c>
      <c r="B423" t="s">
        <v>1656</v>
      </c>
      <c r="C423" s="1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  <c r="K423" t="str">
        <f>TEXT(Table1[[#This Row],[PurchaseDate]],"mmm")</f>
        <v>Oct</v>
      </c>
      <c r="L423">
        <f>YEAR(Table1[[#This Row],[PurchaseDate]])</f>
        <v>2023</v>
      </c>
      <c r="M423" t="str">
        <f>IF(Table1[[#This Row],[TotalPrice]]&gt;2000,"High Sales","Low Sales")</f>
        <v>Low Sales</v>
      </c>
    </row>
    <row r="424" spans="1:13" x14ac:dyDescent="0.3">
      <c r="A424" t="s">
        <v>424</v>
      </c>
      <c r="B424" t="s">
        <v>1656</v>
      </c>
      <c r="C424" s="1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  <c r="K424" t="str">
        <f>TEXT(Table1[[#This Row],[PurchaseDate]],"mmm")</f>
        <v>Mar</v>
      </c>
      <c r="L424">
        <f>YEAR(Table1[[#This Row],[PurchaseDate]])</f>
        <v>2023</v>
      </c>
      <c r="M424" t="str">
        <f>IF(Table1[[#This Row],[TotalPrice]]&gt;2000,"High Sales","Low Sales")</f>
        <v>High Sales</v>
      </c>
    </row>
    <row r="425" spans="1:13" x14ac:dyDescent="0.3">
      <c r="A425" t="s">
        <v>425</v>
      </c>
      <c r="B425" t="s">
        <v>1655</v>
      </c>
      <c r="C425" s="1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  <c r="K425" t="str">
        <f>TEXT(Table1[[#This Row],[PurchaseDate]],"mmm")</f>
        <v>Oct</v>
      </c>
      <c r="L425">
        <f>YEAR(Table1[[#This Row],[PurchaseDate]])</f>
        <v>2024</v>
      </c>
      <c r="M425" t="str">
        <f>IF(Table1[[#This Row],[TotalPrice]]&gt;2000,"High Sales","Low Sales")</f>
        <v>Low Sales</v>
      </c>
    </row>
    <row r="426" spans="1:13" x14ac:dyDescent="0.3">
      <c r="A426" t="s">
        <v>426</v>
      </c>
      <c r="B426" t="s">
        <v>1656</v>
      </c>
      <c r="C426" s="1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  <c r="K426" t="str">
        <f>TEXT(Table1[[#This Row],[PurchaseDate]],"mmm")</f>
        <v>Jul</v>
      </c>
      <c r="L426">
        <f>YEAR(Table1[[#This Row],[PurchaseDate]])</f>
        <v>2023</v>
      </c>
      <c r="M426" t="str">
        <f>IF(Table1[[#This Row],[TotalPrice]]&gt;2000,"High Sales","Low Sales")</f>
        <v>High Sales</v>
      </c>
    </row>
    <row r="427" spans="1:13" x14ac:dyDescent="0.3">
      <c r="A427" t="s">
        <v>427</v>
      </c>
      <c r="B427" t="s">
        <v>1656</v>
      </c>
      <c r="C427" s="1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  <c r="K427" t="str">
        <f>TEXT(Table1[[#This Row],[PurchaseDate]],"mmm")</f>
        <v>Apr</v>
      </c>
      <c r="L427">
        <f>YEAR(Table1[[#This Row],[PurchaseDate]])</f>
        <v>2024</v>
      </c>
      <c r="M427" t="str">
        <f>IF(Table1[[#This Row],[TotalPrice]]&gt;2000,"High Sales","Low Sales")</f>
        <v>High Sales</v>
      </c>
    </row>
    <row r="428" spans="1:13" x14ac:dyDescent="0.3">
      <c r="A428" t="s">
        <v>280</v>
      </c>
      <c r="B428" t="s">
        <v>1655</v>
      </c>
      <c r="C428" s="1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  <c r="K428" t="str">
        <f>TEXT(Table1[[#This Row],[PurchaseDate]],"mmm")</f>
        <v>Aug</v>
      </c>
      <c r="L428">
        <f>YEAR(Table1[[#This Row],[PurchaseDate]])</f>
        <v>2024</v>
      </c>
      <c r="M428" t="str">
        <f>IF(Table1[[#This Row],[TotalPrice]]&gt;2000,"High Sales","Low Sales")</f>
        <v>High Sales</v>
      </c>
    </row>
    <row r="429" spans="1:13" x14ac:dyDescent="0.3">
      <c r="A429" t="s">
        <v>428</v>
      </c>
      <c r="B429" t="s">
        <v>1657</v>
      </c>
      <c r="C429" s="1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  <c r="K429" t="str">
        <f>TEXT(Table1[[#This Row],[PurchaseDate]],"mmm")</f>
        <v>Sep</v>
      </c>
      <c r="L429">
        <f>YEAR(Table1[[#This Row],[PurchaseDate]])</f>
        <v>2024</v>
      </c>
      <c r="M429" t="str">
        <f>IF(Table1[[#This Row],[TotalPrice]]&gt;2000,"High Sales","Low Sales")</f>
        <v>Low Sales</v>
      </c>
    </row>
    <row r="430" spans="1:13" x14ac:dyDescent="0.3">
      <c r="A430" t="s">
        <v>429</v>
      </c>
      <c r="B430" t="s">
        <v>1653</v>
      </c>
      <c r="C430" s="1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  <c r="K430" t="str">
        <f>TEXT(Table1[[#This Row],[PurchaseDate]],"mmm")</f>
        <v>Feb</v>
      </c>
      <c r="L430">
        <f>YEAR(Table1[[#This Row],[PurchaseDate]])</f>
        <v>2025</v>
      </c>
      <c r="M430" t="str">
        <f>IF(Table1[[#This Row],[TotalPrice]]&gt;2000,"High Sales","Low Sales")</f>
        <v>Low Sales</v>
      </c>
    </row>
    <row r="431" spans="1:13" x14ac:dyDescent="0.3">
      <c r="A431" t="s">
        <v>430</v>
      </c>
      <c r="B431" t="s">
        <v>1655</v>
      </c>
      <c r="C431" s="1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  <c r="K431" t="str">
        <f>TEXT(Table1[[#This Row],[PurchaseDate]],"mmm")</f>
        <v>Jul</v>
      </c>
      <c r="L431">
        <f>YEAR(Table1[[#This Row],[PurchaseDate]])</f>
        <v>2023</v>
      </c>
      <c r="M431" t="str">
        <f>IF(Table1[[#This Row],[TotalPrice]]&gt;2000,"High Sales","Low Sales")</f>
        <v>High Sales</v>
      </c>
    </row>
    <row r="432" spans="1:13" x14ac:dyDescent="0.3">
      <c r="A432" t="s">
        <v>431</v>
      </c>
      <c r="B432" t="s">
        <v>1654</v>
      </c>
      <c r="C432" s="1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  <c r="K432" t="str">
        <f>TEXT(Table1[[#This Row],[PurchaseDate]],"mmm")</f>
        <v>Aug</v>
      </c>
      <c r="L432">
        <f>YEAR(Table1[[#This Row],[PurchaseDate]])</f>
        <v>2024</v>
      </c>
      <c r="M432" t="str">
        <f>IF(Table1[[#This Row],[TotalPrice]]&gt;2000,"High Sales","Low Sales")</f>
        <v>Low Sales</v>
      </c>
    </row>
    <row r="433" spans="1:13" x14ac:dyDescent="0.3">
      <c r="A433" t="s">
        <v>432</v>
      </c>
      <c r="B433" t="s">
        <v>1658</v>
      </c>
      <c r="C433" s="1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  <c r="K433" t="str">
        <f>TEXT(Table1[[#This Row],[PurchaseDate]],"mmm")</f>
        <v>Mar</v>
      </c>
      <c r="L433">
        <f>YEAR(Table1[[#This Row],[PurchaseDate]])</f>
        <v>2023</v>
      </c>
      <c r="M433" t="str">
        <f>IF(Table1[[#This Row],[TotalPrice]]&gt;2000,"High Sales","Low Sales")</f>
        <v>Low Sales</v>
      </c>
    </row>
    <row r="434" spans="1:13" x14ac:dyDescent="0.3">
      <c r="A434" t="s">
        <v>433</v>
      </c>
      <c r="B434" t="s">
        <v>1652</v>
      </c>
      <c r="C434" s="1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  <c r="K434" t="str">
        <f>TEXT(Table1[[#This Row],[PurchaseDate]],"mmm")</f>
        <v>May</v>
      </c>
      <c r="L434">
        <f>YEAR(Table1[[#This Row],[PurchaseDate]])</f>
        <v>2025</v>
      </c>
      <c r="M434" t="str">
        <f>IF(Table1[[#This Row],[TotalPrice]]&gt;2000,"High Sales","Low Sales")</f>
        <v>Low Sales</v>
      </c>
    </row>
    <row r="435" spans="1:13" x14ac:dyDescent="0.3">
      <c r="A435" t="s">
        <v>434</v>
      </c>
      <c r="B435" t="s">
        <v>1655</v>
      </c>
      <c r="C435" s="1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  <c r="K435" t="str">
        <f>TEXT(Table1[[#This Row],[PurchaseDate]],"mmm")</f>
        <v>Mar</v>
      </c>
      <c r="L435">
        <f>YEAR(Table1[[#This Row],[PurchaseDate]])</f>
        <v>2024</v>
      </c>
      <c r="M435" t="str">
        <f>IF(Table1[[#This Row],[TotalPrice]]&gt;2000,"High Sales","Low Sales")</f>
        <v>Low Sales</v>
      </c>
    </row>
    <row r="436" spans="1:13" x14ac:dyDescent="0.3">
      <c r="A436" t="s">
        <v>435</v>
      </c>
      <c r="B436" t="s">
        <v>1656</v>
      </c>
      <c r="C436" s="1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  <c r="K436" t="str">
        <f>TEXT(Table1[[#This Row],[PurchaseDate]],"mmm")</f>
        <v>Mar</v>
      </c>
      <c r="L436">
        <f>YEAR(Table1[[#This Row],[PurchaseDate]])</f>
        <v>2025</v>
      </c>
      <c r="M436" t="str">
        <f>IF(Table1[[#This Row],[TotalPrice]]&gt;2000,"High Sales","Low Sales")</f>
        <v>Low Sales</v>
      </c>
    </row>
    <row r="437" spans="1:13" x14ac:dyDescent="0.3">
      <c r="A437" t="s">
        <v>420</v>
      </c>
      <c r="B437" t="s">
        <v>1653</v>
      </c>
      <c r="C437" s="1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  <c r="K437" t="str">
        <f>TEXT(Table1[[#This Row],[PurchaseDate]],"mmm")</f>
        <v>Sep</v>
      </c>
      <c r="L437">
        <f>YEAR(Table1[[#This Row],[PurchaseDate]])</f>
        <v>2024</v>
      </c>
      <c r="M437" t="str">
        <f>IF(Table1[[#This Row],[TotalPrice]]&gt;2000,"High Sales","Low Sales")</f>
        <v>Low Sales</v>
      </c>
    </row>
    <row r="438" spans="1:13" x14ac:dyDescent="0.3">
      <c r="A438" t="s">
        <v>436</v>
      </c>
      <c r="B438" t="s">
        <v>1656</v>
      </c>
      <c r="C438" s="1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  <c r="K438" t="str">
        <f>TEXT(Table1[[#This Row],[PurchaseDate]],"mmm")</f>
        <v>Apr</v>
      </c>
      <c r="L438">
        <f>YEAR(Table1[[#This Row],[PurchaseDate]])</f>
        <v>2023</v>
      </c>
      <c r="M438" t="str">
        <f>IF(Table1[[#This Row],[TotalPrice]]&gt;2000,"High Sales","Low Sales")</f>
        <v>Low Sales</v>
      </c>
    </row>
    <row r="439" spans="1:13" x14ac:dyDescent="0.3">
      <c r="A439" t="s">
        <v>437</v>
      </c>
      <c r="B439" t="s">
        <v>1652</v>
      </c>
      <c r="C439" s="1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  <c r="K439" t="str">
        <f>TEXT(Table1[[#This Row],[PurchaseDate]],"mmm")</f>
        <v>Jul</v>
      </c>
      <c r="L439">
        <f>YEAR(Table1[[#This Row],[PurchaseDate]])</f>
        <v>2024</v>
      </c>
      <c r="M439" t="str">
        <f>IF(Table1[[#This Row],[TotalPrice]]&gt;2000,"High Sales","Low Sales")</f>
        <v>Low Sales</v>
      </c>
    </row>
    <row r="440" spans="1:13" x14ac:dyDescent="0.3">
      <c r="A440" t="s">
        <v>438</v>
      </c>
      <c r="B440" t="s">
        <v>1655</v>
      </c>
      <c r="C440" s="1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  <c r="K440" t="str">
        <f>TEXT(Table1[[#This Row],[PurchaseDate]],"mmm")</f>
        <v>Oct</v>
      </c>
      <c r="L440">
        <f>YEAR(Table1[[#This Row],[PurchaseDate]])</f>
        <v>2024</v>
      </c>
      <c r="M440" t="str">
        <f>IF(Table1[[#This Row],[TotalPrice]]&gt;2000,"High Sales","Low Sales")</f>
        <v>Low Sales</v>
      </c>
    </row>
    <row r="441" spans="1:13" x14ac:dyDescent="0.3">
      <c r="A441" t="s">
        <v>439</v>
      </c>
      <c r="B441" t="s">
        <v>1654</v>
      </c>
      <c r="C441" s="1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  <c r="K441" t="str">
        <f>TEXT(Table1[[#This Row],[PurchaseDate]],"mmm")</f>
        <v>Sep</v>
      </c>
      <c r="L441">
        <f>YEAR(Table1[[#This Row],[PurchaseDate]])</f>
        <v>2023</v>
      </c>
      <c r="M441" t="str">
        <f>IF(Table1[[#This Row],[TotalPrice]]&gt;2000,"High Sales","Low Sales")</f>
        <v>High Sales</v>
      </c>
    </row>
    <row r="442" spans="1:13" x14ac:dyDescent="0.3">
      <c r="A442" t="s">
        <v>440</v>
      </c>
      <c r="B442" t="s">
        <v>1653</v>
      </c>
      <c r="C442" s="1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  <c r="K442" t="str">
        <f>TEXT(Table1[[#This Row],[PurchaseDate]],"mmm")</f>
        <v>Jun</v>
      </c>
      <c r="L442">
        <f>YEAR(Table1[[#This Row],[PurchaseDate]])</f>
        <v>2024</v>
      </c>
      <c r="M442" t="str">
        <f>IF(Table1[[#This Row],[TotalPrice]]&gt;2000,"High Sales","Low Sales")</f>
        <v>Low Sales</v>
      </c>
    </row>
    <row r="443" spans="1:13" x14ac:dyDescent="0.3">
      <c r="A443" t="s">
        <v>441</v>
      </c>
      <c r="B443" t="s">
        <v>1652</v>
      </c>
      <c r="C443" s="1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  <c r="K443" t="str">
        <f>TEXT(Table1[[#This Row],[PurchaseDate]],"mmm")</f>
        <v>Jul</v>
      </c>
      <c r="L443">
        <f>YEAR(Table1[[#This Row],[PurchaseDate]])</f>
        <v>2024</v>
      </c>
      <c r="M443" t="str">
        <f>IF(Table1[[#This Row],[TotalPrice]]&gt;2000,"High Sales","Low Sales")</f>
        <v>High Sales</v>
      </c>
    </row>
    <row r="444" spans="1:13" x14ac:dyDescent="0.3">
      <c r="A444" t="s">
        <v>442</v>
      </c>
      <c r="B444" t="s">
        <v>1656</v>
      </c>
      <c r="C444" s="1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  <c r="K444" t="str">
        <f>TEXT(Table1[[#This Row],[PurchaseDate]],"mmm")</f>
        <v>Jun</v>
      </c>
      <c r="L444">
        <f>YEAR(Table1[[#This Row],[PurchaseDate]])</f>
        <v>2024</v>
      </c>
      <c r="M444" t="str">
        <f>IF(Table1[[#This Row],[TotalPrice]]&gt;2000,"High Sales","Low Sales")</f>
        <v>Low Sales</v>
      </c>
    </row>
    <row r="445" spans="1:13" x14ac:dyDescent="0.3">
      <c r="A445" t="s">
        <v>443</v>
      </c>
      <c r="B445" t="s">
        <v>1652</v>
      </c>
      <c r="C445" s="1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  <c r="K445" t="str">
        <f>TEXT(Table1[[#This Row],[PurchaseDate]],"mmm")</f>
        <v>Oct</v>
      </c>
      <c r="L445">
        <f>YEAR(Table1[[#This Row],[PurchaseDate]])</f>
        <v>2023</v>
      </c>
      <c r="M445" t="str">
        <f>IF(Table1[[#This Row],[TotalPrice]]&gt;2000,"High Sales","Low Sales")</f>
        <v>Low Sales</v>
      </c>
    </row>
    <row r="446" spans="1:13" x14ac:dyDescent="0.3">
      <c r="A446" t="s">
        <v>444</v>
      </c>
      <c r="B446" t="s">
        <v>1653</v>
      </c>
      <c r="C446" s="1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  <c r="K446" t="str">
        <f>TEXT(Table1[[#This Row],[PurchaseDate]],"mmm")</f>
        <v>Mar</v>
      </c>
      <c r="L446">
        <f>YEAR(Table1[[#This Row],[PurchaseDate]])</f>
        <v>2024</v>
      </c>
      <c r="M446" t="str">
        <f>IF(Table1[[#This Row],[TotalPrice]]&gt;2000,"High Sales","Low Sales")</f>
        <v>Low Sales</v>
      </c>
    </row>
    <row r="447" spans="1:13" x14ac:dyDescent="0.3">
      <c r="A447" t="s">
        <v>445</v>
      </c>
      <c r="B447" t="s">
        <v>1658</v>
      </c>
      <c r="C447" s="1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  <c r="K447" t="str">
        <f>TEXT(Table1[[#This Row],[PurchaseDate]],"mmm")</f>
        <v>May</v>
      </c>
      <c r="L447">
        <f>YEAR(Table1[[#This Row],[PurchaseDate]])</f>
        <v>2024</v>
      </c>
      <c r="M447" t="str">
        <f>IF(Table1[[#This Row],[TotalPrice]]&gt;2000,"High Sales","Low Sales")</f>
        <v>Low Sales</v>
      </c>
    </row>
    <row r="448" spans="1:13" x14ac:dyDescent="0.3">
      <c r="A448" t="s">
        <v>446</v>
      </c>
      <c r="B448" t="s">
        <v>1653</v>
      </c>
      <c r="C448" s="1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  <c r="K448" t="str">
        <f>TEXT(Table1[[#This Row],[PurchaseDate]],"mmm")</f>
        <v>Dec</v>
      </c>
      <c r="L448">
        <f>YEAR(Table1[[#This Row],[PurchaseDate]])</f>
        <v>2024</v>
      </c>
      <c r="M448" t="str">
        <f>IF(Table1[[#This Row],[TotalPrice]]&gt;2000,"High Sales","Low Sales")</f>
        <v>Low Sales</v>
      </c>
    </row>
    <row r="449" spans="1:13" x14ac:dyDescent="0.3">
      <c r="A449" t="s">
        <v>447</v>
      </c>
      <c r="B449" t="s">
        <v>1656</v>
      </c>
      <c r="C449" s="1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  <c r="K449" t="str">
        <f>TEXT(Table1[[#This Row],[PurchaseDate]],"mmm")</f>
        <v>Apr</v>
      </c>
      <c r="L449">
        <f>YEAR(Table1[[#This Row],[PurchaseDate]])</f>
        <v>2023</v>
      </c>
      <c r="M449" t="str">
        <f>IF(Table1[[#This Row],[TotalPrice]]&gt;2000,"High Sales","Low Sales")</f>
        <v>Low Sales</v>
      </c>
    </row>
    <row r="450" spans="1:13" x14ac:dyDescent="0.3">
      <c r="A450" t="s">
        <v>448</v>
      </c>
      <c r="B450" t="s">
        <v>1657</v>
      </c>
      <c r="C450" s="1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  <c r="K450" t="str">
        <f>TEXT(Table1[[#This Row],[PurchaseDate]],"mmm")</f>
        <v>Mar</v>
      </c>
      <c r="L450">
        <f>YEAR(Table1[[#This Row],[PurchaseDate]])</f>
        <v>2025</v>
      </c>
      <c r="M450" t="str">
        <f>IF(Table1[[#This Row],[TotalPrice]]&gt;2000,"High Sales","Low Sales")</f>
        <v>Low Sales</v>
      </c>
    </row>
    <row r="451" spans="1:13" x14ac:dyDescent="0.3">
      <c r="A451" t="s">
        <v>449</v>
      </c>
      <c r="B451" t="s">
        <v>1652</v>
      </c>
      <c r="C451" s="1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  <c r="K451" t="str">
        <f>TEXT(Table1[[#This Row],[PurchaseDate]],"mmm")</f>
        <v>Sep</v>
      </c>
      <c r="L451">
        <f>YEAR(Table1[[#This Row],[PurchaseDate]])</f>
        <v>2023</v>
      </c>
      <c r="M451" t="str">
        <f>IF(Table1[[#This Row],[TotalPrice]]&gt;2000,"High Sales","Low Sales")</f>
        <v>High Sales</v>
      </c>
    </row>
    <row r="452" spans="1:13" x14ac:dyDescent="0.3">
      <c r="A452" t="s">
        <v>450</v>
      </c>
      <c r="B452" t="s">
        <v>1657</v>
      </c>
      <c r="C452" s="1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  <c r="K452" t="str">
        <f>TEXT(Table1[[#This Row],[PurchaseDate]],"mmm")</f>
        <v>Oct</v>
      </c>
      <c r="L452">
        <f>YEAR(Table1[[#This Row],[PurchaseDate]])</f>
        <v>2023</v>
      </c>
      <c r="M452" t="str">
        <f>IF(Table1[[#This Row],[TotalPrice]]&gt;2000,"High Sales","Low Sales")</f>
        <v>High Sales</v>
      </c>
    </row>
    <row r="453" spans="1:13" x14ac:dyDescent="0.3">
      <c r="A453" t="s">
        <v>451</v>
      </c>
      <c r="B453" t="s">
        <v>1657</v>
      </c>
      <c r="C453" s="1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  <c r="K453" t="str">
        <f>TEXT(Table1[[#This Row],[PurchaseDate]],"mmm")</f>
        <v>Mar</v>
      </c>
      <c r="L453">
        <f>YEAR(Table1[[#This Row],[PurchaseDate]])</f>
        <v>2025</v>
      </c>
      <c r="M453" t="str">
        <f>IF(Table1[[#This Row],[TotalPrice]]&gt;2000,"High Sales","Low Sales")</f>
        <v>High Sales</v>
      </c>
    </row>
    <row r="454" spans="1:13" x14ac:dyDescent="0.3">
      <c r="A454" t="s">
        <v>452</v>
      </c>
      <c r="B454" t="s">
        <v>1658</v>
      </c>
      <c r="C454" s="1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  <c r="K454" t="str">
        <f>TEXT(Table1[[#This Row],[PurchaseDate]],"mmm")</f>
        <v>Mar</v>
      </c>
      <c r="L454">
        <f>YEAR(Table1[[#This Row],[PurchaseDate]])</f>
        <v>2024</v>
      </c>
      <c r="M454" t="str">
        <f>IF(Table1[[#This Row],[TotalPrice]]&gt;2000,"High Sales","Low Sales")</f>
        <v>High Sales</v>
      </c>
    </row>
    <row r="455" spans="1:13" x14ac:dyDescent="0.3">
      <c r="A455" t="s">
        <v>429</v>
      </c>
      <c r="B455" t="s">
        <v>1653</v>
      </c>
      <c r="C455" s="1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  <c r="K455" t="str">
        <f>TEXT(Table1[[#This Row],[PurchaseDate]],"mmm")</f>
        <v>Nov</v>
      </c>
      <c r="L455">
        <f>YEAR(Table1[[#This Row],[PurchaseDate]])</f>
        <v>2024</v>
      </c>
      <c r="M455" t="str">
        <f>IF(Table1[[#This Row],[TotalPrice]]&gt;2000,"High Sales","Low Sales")</f>
        <v>Low Sales</v>
      </c>
    </row>
    <row r="456" spans="1:13" x14ac:dyDescent="0.3">
      <c r="A456" t="s">
        <v>453</v>
      </c>
      <c r="B456" t="s">
        <v>1657</v>
      </c>
      <c r="C456" s="1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  <c r="K456" t="str">
        <f>TEXT(Table1[[#This Row],[PurchaseDate]],"mmm")</f>
        <v>Sep</v>
      </c>
      <c r="L456">
        <f>YEAR(Table1[[#This Row],[PurchaseDate]])</f>
        <v>2024</v>
      </c>
      <c r="M456" t="str">
        <f>IF(Table1[[#This Row],[TotalPrice]]&gt;2000,"High Sales","Low Sales")</f>
        <v>Low Sales</v>
      </c>
    </row>
    <row r="457" spans="1:13" x14ac:dyDescent="0.3">
      <c r="A457" t="s">
        <v>454</v>
      </c>
      <c r="B457" t="s">
        <v>1652</v>
      </c>
      <c r="C457" s="1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  <c r="K457" t="str">
        <f>TEXT(Table1[[#This Row],[PurchaseDate]],"mmm")</f>
        <v>Jul</v>
      </c>
      <c r="L457">
        <f>YEAR(Table1[[#This Row],[PurchaseDate]])</f>
        <v>2023</v>
      </c>
      <c r="M457" t="str">
        <f>IF(Table1[[#This Row],[TotalPrice]]&gt;2000,"High Sales","Low Sales")</f>
        <v>Low Sales</v>
      </c>
    </row>
    <row r="458" spans="1:13" x14ac:dyDescent="0.3">
      <c r="A458" t="s">
        <v>455</v>
      </c>
      <c r="B458" t="s">
        <v>1657</v>
      </c>
      <c r="C458" s="1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  <c r="K458" t="str">
        <f>TEXT(Table1[[#This Row],[PurchaseDate]],"mmm")</f>
        <v>Jan</v>
      </c>
      <c r="L458">
        <f>YEAR(Table1[[#This Row],[PurchaseDate]])</f>
        <v>2024</v>
      </c>
      <c r="M458" t="str">
        <f>IF(Table1[[#This Row],[TotalPrice]]&gt;2000,"High Sales","Low Sales")</f>
        <v>Low Sales</v>
      </c>
    </row>
    <row r="459" spans="1:13" x14ac:dyDescent="0.3">
      <c r="A459" t="s">
        <v>456</v>
      </c>
      <c r="B459" t="s">
        <v>1653</v>
      </c>
      <c r="C459" s="1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  <c r="K459" t="str">
        <f>TEXT(Table1[[#This Row],[PurchaseDate]],"mmm")</f>
        <v>Feb</v>
      </c>
      <c r="L459">
        <f>YEAR(Table1[[#This Row],[PurchaseDate]])</f>
        <v>2023</v>
      </c>
      <c r="M459" t="str">
        <f>IF(Table1[[#This Row],[TotalPrice]]&gt;2000,"High Sales","Low Sales")</f>
        <v>Low Sales</v>
      </c>
    </row>
    <row r="460" spans="1:13" x14ac:dyDescent="0.3">
      <c r="A460" t="s">
        <v>457</v>
      </c>
      <c r="B460" t="s">
        <v>1653</v>
      </c>
      <c r="C460" s="1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  <c r="K460" t="str">
        <f>TEXT(Table1[[#This Row],[PurchaseDate]],"mmm")</f>
        <v>Nov</v>
      </c>
      <c r="L460">
        <f>YEAR(Table1[[#This Row],[PurchaseDate]])</f>
        <v>2024</v>
      </c>
      <c r="M460" t="str">
        <f>IF(Table1[[#This Row],[TotalPrice]]&gt;2000,"High Sales","Low Sales")</f>
        <v>High Sales</v>
      </c>
    </row>
    <row r="461" spans="1:13" x14ac:dyDescent="0.3">
      <c r="A461" t="s">
        <v>458</v>
      </c>
      <c r="B461" t="s">
        <v>1657</v>
      </c>
      <c r="C461" s="1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  <c r="K461" t="str">
        <f>TEXT(Table1[[#This Row],[PurchaseDate]],"mmm")</f>
        <v>Feb</v>
      </c>
      <c r="L461">
        <f>YEAR(Table1[[#This Row],[PurchaseDate]])</f>
        <v>2024</v>
      </c>
      <c r="M461" t="str">
        <f>IF(Table1[[#This Row],[TotalPrice]]&gt;2000,"High Sales","Low Sales")</f>
        <v>Low Sales</v>
      </c>
    </row>
    <row r="462" spans="1:13" x14ac:dyDescent="0.3">
      <c r="A462" t="s">
        <v>236</v>
      </c>
      <c r="B462" t="s">
        <v>1654</v>
      </c>
      <c r="C462" s="1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  <c r="K462" t="str">
        <f>TEXT(Table1[[#This Row],[PurchaseDate]],"mmm")</f>
        <v>Jun</v>
      </c>
      <c r="L462">
        <f>YEAR(Table1[[#This Row],[PurchaseDate]])</f>
        <v>2023</v>
      </c>
      <c r="M462" t="str">
        <f>IF(Table1[[#This Row],[TotalPrice]]&gt;2000,"High Sales","Low Sales")</f>
        <v>Low Sales</v>
      </c>
    </row>
    <row r="463" spans="1:13" x14ac:dyDescent="0.3">
      <c r="A463" t="s">
        <v>459</v>
      </c>
      <c r="B463" t="s">
        <v>1656</v>
      </c>
      <c r="C463" s="1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  <c r="K463" t="str">
        <f>TEXT(Table1[[#This Row],[PurchaseDate]],"mmm")</f>
        <v>Dec</v>
      </c>
      <c r="L463">
        <f>YEAR(Table1[[#This Row],[PurchaseDate]])</f>
        <v>2024</v>
      </c>
      <c r="M463" t="str">
        <f>IF(Table1[[#This Row],[TotalPrice]]&gt;2000,"High Sales","Low Sales")</f>
        <v>Low Sales</v>
      </c>
    </row>
    <row r="464" spans="1:13" x14ac:dyDescent="0.3">
      <c r="A464" t="s">
        <v>460</v>
      </c>
      <c r="B464" t="s">
        <v>1654</v>
      </c>
      <c r="C464" s="1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  <c r="K464" t="str">
        <f>TEXT(Table1[[#This Row],[PurchaseDate]],"mmm")</f>
        <v>Jan</v>
      </c>
      <c r="L464">
        <f>YEAR(Table1[[#This Row],[PurchaseDate]])</f>
        <v>2024</v>
      </c>
      <c r="M464" t="str">
        <f>IF(Table1[[#This Row],[TotalPrice]]&gt;2000,"High Sales","Low Sales")</f>
        <v>Low Sales</v>
      </c>
    </row>
    <row r="465" spans="1:13" x14ac:dyDescent="0.3">
      <c r="A465" t="s">
        <v>461</v>
      </c>
      <c r="B465" t="s">
        <v>1657</v>
      </c>
      <c r="C465" s="1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  <c r="K465" t="str">
        <f>TEXT(Table1[[#This Row],[PurchaseDate]],"mmm")</f>
        <v>Apr</v>
      </c>
      <c r="L465">
        <f>YEAR(Table1[[#This Row],[PurchaseDate]])</f>
        <v>2023</v>
      </c>
      <c r="M465" t="str">
        <f>IF(Table1[[#This Row],[TotalPrice]]&gt;2000,"High Sales","Low Sales")</f>
        <v>High Sales</v>
      </c>
    </row>
    <row r="466" spans="1:13" x14ac:dyDescent="0.3">
      <c r="A466" t="s">
        <v>462</v>
      </c>
      <c r="B466" t="s">
        <v>1658</v>
      </c>
      <c r="C466" s="1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  <c r="K466" t="str">
        <f>TEXT(Table1[[#This Row],[PurchaseDate]],"mmm")</f>
        <v>Nov</v>
      </c>
      <c r="L466">
        <f>YEAR(Table1[[#This Row],[PurchaseDate]])</f>
        <v>2023</v>
      </c>
      <c r="M466" t="str">
        <f>IF(Table1[[#This Row],[TotalPrice]]&gt;2000,"High Sales","Low Sales")</f>
        <v>High Sales</v>
      </c>
    </row>
    <row r="467" spans="1:13" x14ac:dyDescent="0.3">
      <c r="A467" t="s">
        <v>463</v>
      </c>
      <c r="B467" t="s">
        <v>1652</v>
      </c>
      <c r="C467" s="1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  <c r="K467" t="str">
        <f>TEXT(Table1[[#This Row],[PurchaseDate]],"mmm")</f>
        <v>Oct</v>
      </c>
      <c r="L467">
        <f>YEAR(Table1[[#This Row],[PurchaseDate]])</f>
        <v>2024</v>
      </c>
      <c r="M467" t="str">
        <f>IF(Table1[[#This Row],[TotalPrice]]&gt;2000,"High Sales","Low Sales")</f>
        <v>Low Sales</v>
      </c>
    </row>
    <row r="468" spans="1:13" x14ac:dyDescent="0.3">
      <c r="A468" t="s">
        <v>464</v>
      </c>
      <c r="B468" t="s">
        <v>1655</v>
      </c>
      <c r="C468" s="1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  <c r="K468" t="str">
        <f>TEXT(Table1[[#This Row],[PurchaseDate]],"mmm")</f>
        <v>Jun</v>
      </c>
      <c r="L468">
        <f>YEAR(Table1[[#This Row],[PurchaseDate]])</f>
        <v>2023</v>
      </c>
      <c r="M468" t="str">
        <f>IF(Table1[[#This Row],[TotalPrice]]&gt;2000,"High Sales","Low Sales")</f>
        <v>Low Sales</v>
      </c>
    </row>
    <row r="469" spans="1:13" x14ac:dyDescent="0.3">
      <c r="A469" t="s">
        <v>465</v>
      </c>
      <c r="B469" t="s">
        <v>1652</v>
      </c>
      <c r="C469" s="1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  <c r="K469" t="str">
        <f>TEXT(Table1[[#This Row],[PurchaseDate]],"mmm")</f>
        <v>Apr</v>
      </c>
      <c r="L469">
        <f>YEAR(Table1[[#This Row],[PurchaseDate]])</f>
        <v>2024</v>
      </c>
      <c r="M469" t="str">
        <f>IF(Table1[[#This Row],[TotalPrice]]&gt;2000,"High Sales","Low Sales")</f>
        <v>Low Sales</v>
      </c>
    </row>
    <row r="470" spans="1:13" x14ac:dyDescent="0.3">
      <c r="A470" t="s">
        <v>466</v>
      </c>
      <c r="B470" t="s">
        <v>1653</v>
      </c>
      <c r="C470" s="1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  <c r="K470" t="str">
        <f>TEXT(Table1[[#This Row],[PurchaseDate]],"mmm")</f>
        <v>Apr</v>
      </c>
      <c r="L470">
        <f>YEAR(Table1[[#This Row],[PurchaseDate]])</f>
        <v>2025</v>
      </c>
      <c r="M470" t="str">
        <f>IF(Table1[[#This Row],[TotalPrice]]&gt;2000,"High Sales","Low Sales")</f>
        <v>High Sales</v>
      </c>
    </row>
    <row r="471" spans="1:13" x14ac:dyDescent="0.3">
      <c r="A471" t="s">
        <v>467</v>
      </c>
      <c r="B471" t="s">
        <v>1654</v>
      </c>
      <c r="C471" s="1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  <c r="K471" t="str">
        <f>TEXT(Table1[[#This Row],[PurchaseDate]],"mmm")</f>
        <v>Dec</v>
      </c>
      <c r="L471">
        <f>YEAR(Table1[[#This Row],[PurchaseDate]])</f>
        <v>2024</v>
      </c>
      <c r="M471" t="str">
        <f>IF(Table1[[#This Row],[TotalPrice]]&gt;2000,"High Sales","Low Sales")</f>
        <v>Low Sales</v>
      </c>
    </row>
    <row r="472" spans="1:13" x14ac:dyDescent="0.3">
      <c r="A472" t="s">
        <v>468</v>
      </c>
      <c r="B472" t="s">
        <v>1654</v>
      </c>
      <c r="C472" s="1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  <c r="K472" t="str">
        <f>TEXT(Table1[[#This Row],[PurchaseDate]],"mmm")</f>
        <v>Feb</v>
      </c>
      <c r="L472">
        <f>YEAR(Table1[[#This Row],[PurchaseDate]])</f>
        <v>2023</v>
      </c>
      <c r="M472" t="str">
        <f>IF(Table1[[#This Row],[TotalPrice]]&gt;2000,"High Sales","Low Sales")</f>
        <v>Low Sales</v>
      </c>
    </row>
    <row r="473" spans="1:13" x14ac:dyDescent="0.3">
      <c r="A473" t="s">
        <v>469</v>
      </c>
      <c r="B473" t="s">
        <v>1656</v>
      </c>
      <c r="C473" s="1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  <c r="K473" t="str">
        <f>TEXT(Table1[[#This Row],[PurchaseDate]],"mmm")</f>
        <v>Oct</v>
      </c>
      <c r="L473">
        <f>YEAR(Table1[[#This Row],[PurchaseDate]])</f>
        <v>2023</v>
      </c>
      <c r="M473" t="str">
        <f>IF(Table1[[#This Row],[TotalPrice]]&gt;2000,"High Sales","Low Sales")</f>
        <v>Low Sales</v>
      </c>
    </row>
    <row r="474" spans="1:13" x14ac:dyDescent="0.3">
      <c r="A474" t="s">
        <v>470</v>
      </c>
      <c r="B474" t="s">
        <v>1652</v>
      </c>
      <c r="C474" s="1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  <c r="K474" t="str">
        <f>TEXT(Table1[[#This Row],[PurchaseDate]],"mmm")</f>
        <v>Aug</v>
      </c>
      <c r="L474">
        <f>YEAR(Table1[[#This Row],[PurchaseDate]])</f>
        <v>2023</v>
      </c>
      <c r="M474" t="str">
        <f>IF(Table1[[#This Row],[TotalPrice]]&gt;2000,"High Sales","Low Sales")</f>
        <v>Low Sales</v>
      </c>
    </row>
    <row r="475" spans="1:13" x14ac:dyDescent="0.3">
      <c r="A475" t="s">
        <v>471</v>
      </c>
      <c r="B475" t="s">
        <v>1657</v>
      </c>
      <c r="C475" s="1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  <c r="K475" t="str">
        <f>TEXT(Table1[[#This Row],[PurchaseDate]],"mmm")</f>
        <v>Jul</v>
      </c>
      <c r="L475">
        <f>YEAR(Table1[[#This Row],[PurchaseDate]])</f>
        <v>2024</v>
      </c>
      <c r="M475" t="str">
        <f>IF(Table1[[#This Row],[TotalPrice]]&gt;2000,"High Sales","Low Sales")</f>
        <v>Low Sales</v>
      </c>
    </row>
    <row r="476" spans="1:13" x14ac:dyDescent="0.3">
      <c r="A476" t="s">
        <v>472</v>
      </c>
      <c r="B476" t="s">
        <v>1655</v>
      </c>
      <c r="C476" s="1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  <c r="K476" t="str">
        <f>TEXT(Table1[[#This Row],[PurchaseDate]],"mmm")</f>
        <v>Jul</v>
      </c>
      <c r="L476">
        <f>YEAR(Table1[[#This Row],[PurchaseDate]])</f>
        <v>2024</v>
      </c>
      <c r="M476" t="str">
        <f>IF(Table1[[#This Row],[TotalPrice]]&gt;2000,"High Sales","Low Sales")</f>
        <v>High Sales</v>
      </c>
    </row>
    <row r="477" spans="1:13" x14ac:dyDescent="0.3">
      <c r="A477" t="s">
        <v>473</v>
      </c>
      <c r="B477" t="s">
        <v>1656</v>
      </c>
      <c r="C477" s="1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  <c r="K477" t="str">
        <f>TEXT(Table1[[#This Row],[PurchaseDate]],"mmm")</f>
        <v>Dec</v>
      </c>
      <c r="L477">
        <f>YEAR(Table1[[#This Row],[PurchaseDate]])</f>
        <v>2023</v>
      </c>
      <c r="M477" t="str">
        <f>IF(Table1[[#This Row],[TotalPrice]]&gt;2000,"High Sales","Low Sales")</f>
        <v>Low Sales</v>
      </c>
    </row>
    <row r="478" spans="1:13" x14ac:dyDescent="0.3">
      <c r="A478" t="s">
        <v>474</v>
      </c>
      <c r="B478" t="s">
        <v>1656</v>
      </c>
      <c r="C478" s="1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  <c r="K478" t="str">
        <f>TEXT(Table1[[#This Row],[PurchaseDate]],"mmm")</f>
        <v>Jul</v>
      </c>
      <c r="L478">
        <f>YEAR(Table1[[#This Row],[PurchaseDate]])</f>
        <v>2024</v>
      </c>
      <c r="M478" t="str">
        <f>IF(Table1[[#This Row],[TotalPrice]]&gt;2000,"High Sales","Low Sales")</f>
        <v>Low Sales</v>
      </c>
    </row>
    <row r="479" spans="1:13" x14ac:dyDescent="0.3">
      <c r="A479" t="s">
        <v>475</v>
      </c>
      <c r="B479" t="s">
        <v>1658</v>
      </c>
      <c r="C479" s="1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  <c r="K479" t="str">
        <f>TEXT(Table1[[#This Row],[PurchaseDate]],"mmm")</f>
        <v>Jan</v>
      </c>
      <c r="L479">
        <f>YEAR(Table1[[#This Row],[PurchaseDate]])</f>
        <v>2024</v>
      </c>
      <c r="M479" t="str">
        <f>IF(Table1[[#This Row],[TotalPrice]]&gt;2000,"High Sales","Low Sales")</f>
        <v>Low Sales</v>
      </c>
    </row>
    <row r="480" spans="1:13" x14ac:dyDescent="0.3">
      <c r="A480" t="s">
        <v>476</v>
      </c>
      <c r="B480" t="s">
        <v>1658</v>
      </c>
      <c r="C480" s="1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  <c r="K480" t="str">
        <f>TEXT(Table1[[#This Row],[PurchaseDate]],"mmm")</f>
        <v>Mar</v>
      </c>
      <c r="L480">
        <f>YEAR(Table1[[#This Row],[PurchaseDate]])</f>
        <v>2025</v>
      </c>
      <c r="M480" t="str">
        <f>IF(Table1[[#This Row],[TotalPrice]]&gt;2000,"High Sales","Low Sales")</f>
        <v>Low Sales</v>
      </c>
    </row>
    <row r="481" spans="1:13" x14ac:dyDescent="0.3">
      <c r="A481" t="s">
        <v>477</v>
      </c>
      <c r="B481" t="s">
        <v>1654</v>
      </c>
      <c r="C481" s="1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  <c r="K481" t="str">
        <f>TEXT(Table1[[#This Row],[PurchaseDate]],"mmm")</f>
        <v>Feb</v>
      </c>
      <c r="L481">
        <f>YEAR(Table1[[#This Row],[PurchaseDate]])</f>
        <v>2023</v>
      </c>
      <c r="M481" t="str">
        <f>IF(Table1[[#This Row],[TotalPrice]]&gt;2000,"High Sales","Low Sales")</f>
        <v>Low Sales</v>
      </c>
    </row>
    <row r="482" spans="1:13" x14ac:dyDescent="0.3">
      <c r="A482" t="s">
        <v>478</v>
      </c>
      <c r="B482" t="s">
        <v>1655</v>
      </c>
      <c r="C482" s="1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  <c r="K482" t="str">
        <f>TEXT(Table1[[#This Row],[PurchaseDate]],"mmm")</f>
        <v>May</v>
      </c>
      <c r="L482">
        <f>YEAR(Table1[[#This Row],[PurchaseDate]])</f>
        <v>2024</v>
      </c>
      <c r="M482" t="str">
        <f>IF(Table1[[#This Row],[TotalPrice]]&gt;2000,"High Sales","Low Sales")</f>
        <v>High Sales</v>
      </c>
    </row>
    <row r="483" spans="1:13" x14ac:dyDescent="0.3">
      <c r="A483" t="s">
        <v>323</v>
      </c>
      <c r="B483" t="s">
        <v>1655</v>
      </c>
      <c r="C483" s="1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  <c r="K483" t="str">
        <f>TEXT(Table1[[#This Row],[PurchaseDate]],"mmm")</f>
        <v>Nov</v>
      </c>
      <c r="L483">
        <f>YEAR(Table1[[#This Row],[PurchaseDate]])</f>
        <v>2023</v>
      </c>
      <c r="M483" t="str">
        <f>IF(Table1[[#This Row],[TotalPrice]]&gt;2000,"High Sales","Low Sales")</f>
        <v>Low Sales</v>
      </c>
    </row>
    <row r="484" spans="1:13" x14ac:dyDescent="0.3">
      <c r="A484" t="s">
        <v>479</v>
      </c>
      <c r="B484" t="s">
        <v>1654</v>
      </c>
      <c r="C484" s="1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  <c r="K484" t="str">
        <f>TEXT(Table1[[#This Row],[PurchaseDate]],"mmm")</f>
        <v>Oct</v>
      </c>
      <c r="L484">
        <f>YEAR(Table1[[#This Row],[PurchaseDate]])</f>
        <v>2023</v>
      </c>
      <c r="M484" t="str">
        <f>IF(Table1[[#This Row],[TotalPrice]]&gt;2000,"High Sales","Low Sales")</f>
        <v>High Sales</v>
      </c>
    </row>
    <row r="485" spans="1:13" x14ac:dyDescent="0.3">
      <c r="A485" t="s">
        <v>480</v>
      </c>
      <c r="B485" t="s">
        <v>1654</v>
      </c>
      <c r="C485" s="1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  <c r="K485" t="str">
        <f>TEXT(Table1[[#This Row],[PurchaseDate]],"mmm")</f>
        <v>Feb</v>
      </c>
      <c r="L485">
        <f>YEAR(Table1[[#This Row],[PurchaseDate]])</f>
        <v>2023</v>
      </c>
      <c r="M485" t="str">
        <f>IF(Table1[[#This Row],[TotalPrice]]&gt;2000,"High Sales","Low Sales")</f>
        <v>High Sales</v>
      </c>
    </row>
    <row r="486" spans="1:13" x14ac:dyDescent="0.3">
      <c r="A486" t="s">
        <v>481</v>
      </c>
      <c r="B486" t="s">
        <v>1656</v>
      </c>
      <c r="C486" s="1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  <c r="K486" t="str">
        <f>TEXT(Table1[[#This Row],[PurchaseDate]],"mmm")</f>
        <v>May</v>
      </c>
      <c r="L486">
        <f>YEAR(Table1[[#This Row],[PurchaseDate]])</f>
        <v>2025</v>
      </c>
      <c r="M486" t="str">
        <f>IF(Table1[[#This Row],[TotalPrice]]&gt;2000,"High Sales","Low Sales")</f>
        <v>High Sales</v>
      </c>
    </row>
    <row r="487" spans="1:13" x14ac:dyDescent="0.3">
      <c r="A487" t="s">
        <v>482</v>
      </c>
      <c r="B487" t="s">
        <v>1652</v>
      </c>
      <c r="C487" s="1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  <c r="K487" t="str">
        <f>TEXT(Table1[[#This Row],[PurchaseDate]],"mmm")</f>
        <v>Sep</v>
      </c>
      <c r="L487">
        <f>YEAR(Table1[[#This Row],[PurchaseDate]])</f>
        <v>2023</v>
      </c>
      <c r="M487" t="str">
        <f>IF(Table1[[#This Row],[TotalPrice]]&gt;2000,"High Sales","Low Sales")</f>
        <v>Low Sales</v>
      </c>
    </row>
    <row r="488" spans="1:13" x14ac:dyDescent="0.3">
      <c r="A488" t="s">
        <v>483</v>
      </c>
      <c r="B488" t="s">
        <v>1655</v>
      </c>
      <c r="C488" s="1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  <c r="K488" t="str">
        <f>TEXT(Table1[[#This Row],[PurchaseDate]],"mmm")</f>
        <v>Oct</v>
      </c>
      <c r="L488">
        <f>YEAR(Table1[[#This Row],[PurchaseDate]])</f>
        <v>2023</v>
      </c>
      <c r="M488" t="str">
        <f>IF(Table1[[#This Row],[TotalPrice]]&gt;2000,"High Sales","Low Sales")</f>
        <v>Low Sales</v>
      </c>
    </row>
    <row r="489" spans="1:13" x14ac:dyDescent="0.3">
      <c r="A489" t="s">
        <v>484</v>
      </c>
      <c r="B489" t="s">
        <v>1655</v>
      </c>
      <c r="C489" s="1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  <c r="K489" t="str">
        <f>TEXT(Table1[[#This Row],[PurchaseDate]],"mmm")</f>
        <v>May</v>
      </c>
      <c r="L489">
        <f>YEAR(Table1[[#This Row],[PurchaseDate]])</f>
        <v>2025</v>
      </c>
      <c r="M489" t="str">
        <f>IF(Table1[[#This Row],[TotalPrice]]&gt;2000,"High Sales","Low Sales")</f>
        <v>High Sales</v>
      </c>
    </row>
    <row r="490" spans="1:13" x14ac:dyDescent="0.3">
      <c r="A490" t="s">
        <v>485</v>
      </c>
      <c r="B490" t="s">
        <v>1652</v>
      </c>
      <c r="C490" s="1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  <c r="K490" t="str">
        <f>TEXT(Table1[[#This Row],[PurchaseDate]],"mmm")</f>
        <v>May</v>
      </c>
      <c r="L490">
        <f>YEAR(Table1[[#This Row],[PurchaseDate]])</f>
        <v>2023</v>
      </c>
      <c r="M490" t="str">
        <f>IF(Table1[[#This Row],[TotalPrice]]&gt;2000,"High Sales","Low Sales")</f>
        <v>High Sales</v>
      </c>
    </row>
    <row r="491" spans="1:13" x14ac:dyDescent="0.3">
      <c r="A491" t="s">
        <v>486</v>
      </c>
      <c r="B491" t="s">
        <v>1657</v>
      </c>
      <c r="C491" s="1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  <c r="K491" t="str">
        <f>TEXT(Table1[[#This Row],[PurchaseDate]],"mmm")</f>
        <v>Dec</v>
      </c>
      <c r="L491">
        <f>YEAR(Table1[[#This Row],[PurchaseDate]])</f>
        <v>2023</v>
      </c>
      <c r="M491" t="str">
        <f>IF(Table1[[#This Row],[TotalPrice]]&gt;2000,"High Sales","Low Sales")</f>
        <v>Low Sales</v>
      </c>
    </row>
    <row r="492" spans="1:13" x14ac:dyDescent="0.3">
      <c r="A492" t="s">
        <v>487</v>
      </c>
      <c r="B492" t="s">
        <v>1657</v>
      </c>
      <c r="C492" s="1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  <c r="K492" t="str">
        <f>TEXT(Table1[[#This Row],[PurchaseDate]],"mmm")</f>
        <v>Jan</v>
      </c>
      <c r="L492">
        <f>YEAR(Table1[[#This Row],[PurchaseDate]])</f>
        <v>2024</v>
      </c>
      <c r="M492" t="str">
        <f>IF(Table1[[#This Row],[TotalPrice]]&gt;2000,"High Sales","Low Sales")</f>
        <v>Low Sales</v>
      </c>
    </row>
    <row r="493" spans="1:13" x14ac:dyDescent="0.3">
      <c r="A493" t="s">
        <v>488</v>
      </c>
      <c r="B493" t="s">
        <v>1653</v>
      </c>
      <c r="C493" s="1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  <c r="K493" t="str">
        <f>TEXT(Table1[[#This Row],[PurchaseDate]],"mmm")</f>
        <v>Dec</v>
      </c>
      <c r="L493">
        <f>YEAR(Table1[[#This Row],[PurchaseDate]])</f>
        <v>2024</v>
      </c>
      <c r="M493" t="str">
        <f>IF(Table1[[#This Row],[TotalPrice]]&gt;2000,"High Sales","Low Sales")</f>
        <v>Low Sales</v>
      </c>
    </row>
    <row r="494" spans="1:13" x14ac:dyDescent="0.3">
      <c r="A494" t="s">
        <v>489</v>
      </c>
      <c r="B494" t="s">
        <v>1658</v>
      </c>
      <c r="C494" s="1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  <c r="K494" t="str">
        <f>TEXT(Table1[[#This Row],[PurchaseDate]],"mmm")</f>
        <v>May</v>
      </c>
      <c r="L494">
        <f>YEAR(Table1[[#This Row],[PurchaseDate]])</f>
        <v>2025</v>
      </c>
      <c r="M494" t="str">
        <f>IF(Table1[[#This Row],[TotalPrice]]&gt;2000,"High Sales","Low Sales")</f>
        <v>High Sales</v>
      </c>
    </row>
    <row r="495" spans="1:13" x14ac:dyDescent="0.3">
      <c r="A495" t="s">
        <v>490</v>
      </c>
      <c r="B495" t="s">
        <v>1658</v>
      </c>
      <c r="C495" s="1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  <c r="K495" t="str">
        <f>TEXT(Table1[[#This Row],[PurchaseDate]],"mmm")</f>
        <v>Dec</v>
      </c>
      <c r="L495">
        <f>YEAR(Table1[[#This Row],[PurchaseDate]])</f>
        <v>2024</v>
      </c>
      <c r="M495" t="str">
        <f>IF(Table1[[#This Row],[TotalPrice]]&gt;2000,"High Sales","Low Sales")</f>
        <v>High Sales</v>
      </c>
    </row>
    <row r="496" spans="1:13" x14ac:dyDescent="0.3">
      <c r="A496" t="s">
        <v>491</v>
      </c>
      <c r="B496" t="s">
        <v>1654</v>
      </c>
      <c r="C496" s="1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  <c r="K496" t="str">
        <f>TEXT(Table1[[#This Row],[PurchaseDate]],"mmm")</f>
        <v>Dec</v>
      </c>
      <c r="L496">
        <f>YEAR(Table1[[#This Row],[PurchaseDate]])</f>
        <v>2024</v>
      </c>
      <c r="M496" t="str">
        <f>IF(Table1[[#This Row],[TotalPrice]]&gt;2000,"High Sales","Low Sales")</f>
        <v>Low Sales</v>
      </c>
    </row>
    <row r="497" spans="1:13" x14ac:dyDescent="0.3">
      <c r="A497" t="s">
        <v>492</v>
      </c>
      <c r="B497" t="s">
        <v>1657</v>
      </c>
      <c r="C497" s="1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  <c r="K497" t="str">
        <f>TEXT(Table1[[#This Row],[PurchaseDate]],"mmm")</f>
        <v>Aug</v>
      </c>
      <c r="L497">
        <f>YEAR(Table1[[#This Row],[PurchaseDate]])</f>
        <v>2024</v>
      </c>
      <c r="M497" t="str">
        <f>IF(Table1[[#This Row],[TotalPrice]]&gt;2000,"High Sales","Low Sales")</f>
        <v>High Sales</v>
      </c>
    </row>
    <row r="498" spans="1:13" x14ac:dyDescent="0.3">
      <c r="A498" t="s">
        <v>493</v>
      </c>
      <c r="B498" t="s">
        <v>1656</v>
      </c>
      <c r="C498" s="1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  <c r="K498" t="str">
        <f>TEXT(Table1[[#This Row],[PurchaseDate]],"mmm")</f>
        <v>Dec</v>
      </c>
      <c r="L498">
        <f>YEAR(Table1[[#This Row],[PurchaseDate]])</f>
        <v>2024</v>
      </c>
      <c r="M498" t="str">
        <f>IF(Table1[[#This Row],[TotalPrice]]&gt;2000,"High Sales","Low Sales")</f>
        <v>Low Sales</v>
      </c>
    </row>
    <row r="499" spans="1:13" x14ac:dyDescent="0.3">
      <c r="A499" t="s">
        <v>494</v>
      </c>
      <c r="B499" t="s">
        <v>1652</v>
      </c>
      <c r="C499" s="1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  <c r="K499" t="str">
        <f>TEXT(Table1[[#This Row],[PurchaseDate]],"mmm")</f>
        <v>Jun</v>
      </c>
      <c r="L499">
        <f>YEAR(Table1[[#This Row],[PurchaseDate]])</f>
        <v>2025</v>
      </c>
      <c r="M499" t="str">
        <f>IF(Table1[[#This Row],[TotalPrice]]&gt;2000,"High Sales","Low Sales")</f>
        <v>Low Sales</v>
      </c>
    </row>
    <row r="500" spans="1:13" x14ac:dyDescent="0.3">
      <c r="A500" t="s">
        <v>495</v>
      </c>
      <c r="B500" t="s">
        <v>1656</v>
      </c>
      <c r="C500" s="1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  <c r="K500" t="str">
        <f>TEXT(Table1[[#This Row],[PurchaseDate]],"mmm")</f>
        <v>Jun</v>
      </c>
      <c r="L500">
        <f>YEAR(Table1[[#This Row],[PurchaseDate]])</f>
        <v>2024</v>
      </c>
      <c r="M500" t="str">
        <f>IF(Table1[[#This Row],[TotalPrice]]&gt;2000,"High Sales","Low Sales")</f>
        <v>Low Sales</v>
      </c>
    </row>
    <row r="501" spans="1:13" x14ac:dyDescent="0.3">
      <c r="A501" t="s">
        <v>496</v>
      </c>
      <c r="B501" t="s">
        <v>1656</v>
      </c>
      <c r="C501" s="1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  <c r="K501" t="str">
        <f>TEXT(Table1[[#This Row],[PurchaseDate]],"mmm")</f>
        <v>Apr</v>
      </c>
      <c r="L501">
        <f>YEAR(Table1[[#This Row],[PurchaseDate]])</f>
        <v>2025</v>
      </c>
      <c r="M501" t="str">
        <f>IF(Table1[[#This Row],[TotalPrice]]&gt;2000,"High Sales","Low Sales")</f>
        <v>Low Sales</v>
      </c>
    </row>
    <row r="502" spans="1:13" x14ac:dyDescent="0.3">
      <c r="A502" t="s">
        <v>497</v>
      </c>
      <c r="B502" t="s">
        <v>1658</v>
      </c>
      <c r="C502" s="1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  <c r="K502" t="str">
        <f>TEXT(Table1[[#This Row],[PurchaseDate]],"mmm")</f>
        <v>Sep</v>
      </c>
      <c r="L502">
        <f>YEAR(Table1[[#This Row],[PurchaseDate]])</f>
        <v>2023</v>
      </c>
      <c r="M502" t="str">
        <f>IF(Table1[[#This Row],[TotalPrice]]&gt;2000,"High Sales","Low Sales")</f>
        <v>Low Sales</v>
      </c>
    </row>
    <row r="503" spans="1:13" x14ac:dyDescent="0.3">
      <c r="A503" t="s">
        <v>498</v>
      </c>
      <c r="B503" t="s">
        <v>1654</v>
      </c>
      <c r="C503" s="1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  <c r="K503" t="str">
        <f>TEXT(Table1[[#This Row],[PurchaseDate]],"mmm")</f>
        <v>Apr</v>
      </c>
      <c r="L503">
        <f>YEAR(Table1[[#This Row],[PurchaseDate]])</f>
        <v>2024</v>
      </c>
      <c r="M503" t="str">
        <f>IF(Table1[[#This Row],[TotalPrice]]&gt;2000,"High Sales","Low Sales")</f>
        <v>Low Sales</v>
      </c>
    </row>
    <row r="504" spans="1:13" x14ac:dyDescent="0.3">
      <c r="A504" t="s">
        <v>499</v>
      </c>
      <c r="B504" t="s">
        <v>1657</v>
      </c>
      <c r="C504" s="1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  <c r="K504" t="str">
        <f>TEXT(Table1[[#This Row],[PurchaseDate]],"mmm")</f>
        <v>Dec</v>
      </c>
      <c r="L504">
        <f>YEAR(Table1[[#This Row],[PurchaseDate]])</f>
        <v>2023</v>
      </c>
      <c r="M504" t="str">
        <f>IF(Table1[[#This Row],[TotalPrice]]&gt;2000,"High Sales","Low Sales")</f>
        <v>Low Sales</v>
      </c>
    </row>
    <row r="505" spans="1:13" x14ac:dyDescent="0.3">
      <c r="A505" t="s">
        <v>500</v>
      </c>
      <c r="B505" t="s">
        <v>1654</v>
      </c>
      <c r="C505" s="1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  <c r="K505" t="str">
        <f>TEXT(Table1[[#This Row],[PurchaseDate]],"mmm")</f>
        <v>Jun</v>
      </c>
      <c r="L505">
        <f>YEAR(Table1[[#This Row],[PurchaseDate]])</f>
        <v>2024</v>
      </c>
      <c r="M505" t="str">
        <f>IF(Table1[[#This Row],[TotalPrice]]&gt;2000,"High Sales","Low Sales")</f>
        <v>High Sales</v>
      </c>
    </row>
    <row r="506" spans="1:13" x14ac:dyDescent="0.3">
      <c r="A506" t="s">
        <v>22</v>
      </c>
      <c r="B506" t="s">
        <v>1654</v>
      </c>
      <c r="C506" s="1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  <c r="K506" t="str">
        <f>TEXT(Table1[[#This Row],[PurchaseDate]],"mmm")</f>
        <v>May</v>
      </c>
      <c r="L506">
        <f>YEAR(Table1[[#This Row],[PurchaseDate]])</f>
        <v>2025</v>
      </c>
      <c r="M506" t="str">
        <f>IF(Table1[[#This Row],[TotalPrice]]&gt;2000,"High Sales","Low Sales")</f>
        <v>Low Sales</v>
      </c>
    </row>
    <row r="507" spans="1:13" x14ac:dyDescent="0.3">
      <c r="A507" t="s">
        <v>501</v>
      </c>
      <c r="B507" t="s">
        <v>1653</v>
      </c>
      <c r="C507" s="1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  <c r="K507" t="str">
        <f>TEXT(Table1[[#This Row],[PurchaseDate]],"mmm")</f>
        <v>Jun</v>
      </c>
      <c r="L507">
        <f>YEAR(Table1[[#This Row],[PurchaseDate]])</f>
        <v>2025</v>
      </c>
      <c r="M507" t="str">
        <f>IF(Table1[[#This Row],[TotalPrice]]&gt;2000,"High Sales","Low Sales")</f>
        <v>High Sales</v>
      </c>
    </row>
    <row r="508" spans="1:13" x14ac:dyDescent="0.3">
      <c r="A508" t="s">
        <v>502</v>
      </c>
      <c r="B508" t="s">
        <v>1654</v>
      </c>
      <c r="C508" s="1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  <c r="K508" t="str">
        <f>TEXT(Table1[[#This Row],[PurchaseDate]],"mmm")</f>
        <v>Dec</v>
      </c>
      <c r="L508">
        <f>YEAR(Table1[[#This Row],[PurchaseDate]])</f>
        <v>2024</v>
      </c>
      <c r="M508" t="str">
        <f>IF(Table1[[#This Row],[TotalPrice]]&gt;2000,"High Sales","Low Sales")</f>
        <v>High Sales</v>
      </c>
    </row>
    <row r="509" spans="1:13" x14ac:dyDescent="0.3">
      <c r="A509" t="s">
        <v>503</v>
      </c>
      <c r="B509" t="s">
        <v>1653</v>
      </c>
      <c r="C509" s="1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  <c r="K509" t="str">
        <f>TEXT(Table1[[#This Row],[PurchaseDate]],"mmm")</f>
        <v>Jun</v>
      </c>
      <c r="L509">
        <f>YEAR(Table1[[#This Row],[PurchaseDate]])</f>
        <v>2024</v>
      </c>
      <c r="M509" t="str">
        <f>IF(Table1[[#This Row],[TotalPrice]]&gt;2000,"High Sales","Low Sales")</f>
        <v>High Sales</v>
      </c>
    </row>
    <row r="510" spans="1:13" x14ac:dyDescent="0.3">
      <c r="A510" t="s">
        <v>504</v>
      </c>
      <c r="B510" t="s">
        <v>1652</v>
      </c>
      <c r="C510" s="1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  <c r="K510" t="str">
        <f>TEXT(Table1[[#This Row],[PurchaseDate]],"mmm")</f>
        <v>Dec</v>
      </c>
      <c r="L510">
        <f>YEAR(Table1[[#This Row],[PurchaseDate]])</f>
        <v>2023</v>
      </c>
      <c r="M510" t="str">
        <f>IF(Table1[[#This Row],[TotalPrice]]&gt;2000,"High Sales","Low Sales")</f>
        <v>High Sales</v>
      </c>
    </row>
    <row r="511" spans="1:13" x14ac:dyDescent="0.3">
      <c r="A511" t="s">
        <v>505</v>
      </c>
      <c r="B511" t="s">
        <v>1655</v>
      </c>
      <c r="C511" s="1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  <c r="K511" t="str">
        <f>TEXT(Table1[[#This Row],[PurchaseDate]],"mmm")</f>
        <v>Feb</v>
      </c>
      <c r="L511">
        <f>YEAR(Table1[[#This Row],[PurchaseDate]])</f>
        <v>2025</v>
      </c>
      <c r="M511" t="str">
        <f>IF(Table1[[#This Row],[TotalPrice]]&gt;2000,"High Sales","Low Sales")</f>
        <v>Low Sales</v>
      </c>
    </row>
    <row r="512" spans="1:13" x14ac:dyDescent="0.3">
      <c r="A512" t="s">
        <v>506</v>
      </c>
      <c r="B512" t="s">
        <v>1652</v>
      </c>
      <c r="C512" s="1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  <c r="K512" t="str">
        <f>TEXT(Table1[[#This Row],[PurchaseDate]],"mmm")</f>
        <v>Jun</v>
      </c>
      <c r="L512">
        <f>YEAR(Table1[[#This Row],[PurchaseDate]])</f>
        <v>2025</v>
      </c>
      <c r="M512" t="str">
        <f>IF(Table1[[#This Row],[TotalPrice]]&gt;2000,"High Sales","Low Sales")</f>
        <v>Low Sales</v>
      </c>
    </row>
    <row r="513" spans="1:13" x14ac:dyDescent="0.3">
      <c r="A513" t="s">
        <v>507</v>
      </c>
      <c r="B513" t="s">
        <v>1655</v>
      </c>
      <c r="C513" s="1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  <c r="K513" t="str">
        <f>TEXT(Table1[[#This Row],[PurchaseDate]],"mmm")</f>
        <v>Nov</v>
      </c>
      <c r="L513">
        <f>YEAR(Table1[[#This Row],[PurchaseDate]])</f>
        <v>2023</v>
      </c>
      <c r="M513" t="str">
        <f>IF(Table1[[#This Row],[TotalPrice]]&gt;2000,"High Sales","Low Sales")</f>
        <v>Low Sales</v>
      </c>
    </row>
    <row r="514" spans="1:13" x14ac:dyDescent="0.3">
      <c r="A514" t="s">
        <v>508</v>
      </c>
      <c r="B514" t="s">
        <v>1656</v>
      </c>
      <c r="C514" s="1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  <c r="K514" t="str">
        <f>TEXT(Table1[[#This Row],[PurchaseDate]],"mmm")</f>
        <v>Mar</v>
      </c>
      <c r="L514">
        <f>YEAR(Table1[[#This Row],[PurchaseDate]])</f>
        <v>2024</v>
      </c>
      <c r="M514" t="str">
        <f>IF(Table1[[#This Row],[TotalPrice]]&gt;2000,"High Sales","Low Sales")</f>
        <v>Low Sales</v>
      </c>
    </row>
    <row r="515" spans="1:13" x14ac:dyDescent="0.3">
      <c r="A515" t="s">
        <v>509</v>
      </c>
      <c r="B515" t="s">
        <v>1655</v>
      </c>
      <c r="C515" s="1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  <c r="K515" t="str">
        <f>TEXT(Table1[[#This Row],[PurchaseDate]],"mmm")</f>
        <v>Mar</v>
      </c>
      <c r="L515">
        <f>YEAR(Table1[[#This Row],[PurchaseDate]])</f>
        <v>2025</v>
      </c>
      <c r="M515" t="str">
        <f>IF(Table1[[#This Row],[TotalPrice]]&gt;2000,"High Sales","Low Sales")</f>
        <v>High Sales</v>
      </c>
    </row>
    <row r="516" spans="1:13" x14ac:dyDescent="0.3">
      <c r="A516" t="s">
        <v>510</v>
      </c>
      <c r="B516" t="s">
        <v>1657</v>
      </c>
      <c r="C516" s="1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  <c r="K516" t="str">
        <f>TEXT(Table1[[#This Row],[PurchaseDate]],"mmm")</f>
        <v>May</v>
      </c>
      <c r="L516">
        <f>YEAR(Table1[[#This Row],[PurchaseDate]])</f>
        <v>2024</v>
      </c>
      <c r="M516" t="str">
        <f>IF(Table1[[#This Row],[TotalPrice]]&gt;2000,"High Sales","Low Sales")</f>
        <v>Low Sales</v>
      </c>
    </row>
    <row r="517" spans="1:13" x14ac:dyDescent="0.3">
      <c r="A517" t="s">
        <v>511</v>
      </c>
      <c r="B517" t="s">
        <v>1652</v>
      </c>
      <c r="C517" s="1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  <c r="K517" t="str">
        <f>TEXT(Table1[[#This Row],[PurchaseDate]],"mmm")</f>
        <v>Apr</v>
      </c>
      <c r="L517">
        <f>YEAR(Table1[[#This Row],[PurchaseDate]])</f>
        <v>2023</v>
      </c>
      <c r="M517" t="str">
        <f>IF(Table1[[#This Row],[TotalPrice]]&gt;2000,"High Sales","Low Sales")</f>
        <v>Low Sales</v>
      </c>
    </row>
    <row r="518" spans="1:13" x14ac:dyDescent="0.3">
      <c r="A518" t="s">
        <v>150</v>
      </c>
      <c r="B518" t="s">
        <v>1658</v>
      </c>
      <c r="C518" s="1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  <c r="K518" t="str">
        <f>TEXT(Table1[[#This Row],[PurchaseDate]],"mmm")</f>
        <v>Oct</v>
      </c>
      <c r="L518">
        <f>YEAR(Table1[[#This Row],[PurchaseDate]])</f>
        <v>2024</v>
      </c>
      <c r="M518" t="str">
        <f>IF(Table1[[#This Row],[TotalPrice]]&gt;2000,"High Sales","Low Sales")</f>
        <v>High Sales</v>
      </c>
    </row>
    <row r="519" spans="1:13" x14ac:dyDescent="0.3">
      <c r="A519" t="s">
        <v>512</v>
      </c>
      <c r="B519" t="s">
        <v>1656</v>
      </c>
      <c r="C519" s="1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  <c r="K519" t="str">
        <f>TEXT(Table1[[#This Row],[PurchaseDate]],"mmm")</f>
        <v>May</v>
      </c>
      <c r="L519">
        <f>YEAR(Table1[[#This Row],[PurchaseDate]])</f>
        <v>2025</v>
      </c>
      <c r="M519" t="str">
        <f>IF(Table1[[#This Row],[TotalPrice]]&gt;2000,"High Sales","Low Sales")</f>
        <v>Low Sales</v>
      </c>
    </row>
    <row r="520" spans="1:13" x14ac:dyDescent="0.3">
      <c r="A520" t="s">
        <v>513</v>
      </c>
      <c r="B520" t="s">
        <v>1652</v>
      </c>
      <c r="C520" s="1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  <c r="K520" t="str">
        <f>TEXT(Table1[[#This Row],[PurchaseDate]],"mmm")</f>
        <v>Feb</v>
      </c>
      <c r="L520">
        <f>YEAR(Table1[[#This Row],[PurchaseDate]])</f>
        <v>2025</v>
      </c>
      <c r="M520" t="str">
        <f>IF(Table1[[#This Row],[TotalPrice]]&gt;2000,"High Sales","Low Sales")</f>
        <v>High Sales</v>
      </c>
    </row>
    <row r="521" spans="1:13" x14ac:dyDescent="0.3">
      <c r="A521" t="s">
        <v>514</v>
      </c>
      <c r="B521" t="s">
        <v>1658</v>
      </c>
      <c r="C521" s="1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  <c r="K521" t="str">
        <f>TEXT(Table1[[#This Row],[PurchaseDate]],"mmm")</f>
        <v>Feb</v>
      </c>
      <c r="L521">
        <f>YEAR(Table1[[#This Row],[PurchaseDate]])</f>
        <v>2024</v>
      </c>
      <c r="M521" t="str">
        <f>IF(Table1[[#This Row],[TotalPrice]]&gt;2000,"High Sales","Low Sales")</f>
        <v>Low Sales</v>
      </c>
    </row>
    <row r="522" spans="1:13" x14ac:dyDescent="0.3">
      <c r="A522" t="s">
        <v>515</v>
      </c>
      <c r="B522" t="s">
        <v>1658</v>
      </c>
      <c r="C522" s="1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  <c r="K522" t="str">
        <f>TEXT(Table1[[#This Row],[PurchaseDate]],"mmm")</f>
        <v>Oct</v>
      </c>
      <c r="L522">
        <f>YEAR(Table1[[#This Row],[PurchaseDate]])</f>
        <v>2023</v>
      </c>
      <c r="M522" t="str">
        <f>IF(Table1[[#This Row],[TotalPrice]]&gt;2000,"High Sales","Low Sales")</f>
        <v>High Sales</v>
      </c>
    </row>
    <row r="523" spans="1:13" x14ac:dyDescent="0.3">
      <c r="A523" t="s">
        <v>516</v>
      </c>
      <c r="B523" t="s">
        <v>1653</v>
      </c>
      <c r="C523" s="1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  <c r="K523" t="str">
        <f>TEXT(Table1[[#This Row],[PurchaseDate]],"mmm")</f>
        <v>Oct</v>
      </c>
      <c r="L523">
        <f>YEAR(Table1[[#This Row],[PurchaseDate]])</f>
        <v>2023</v>
      </c>
      <c r="M523" t="str">
        <f>IF(Table1[[#This Row],[TotalPrice]]&gt;2000,"High Sales","Low Sales")</f>
        <v>High Sales</v>
      </c>
    </row>
    <row r="524" spans="1:13" x14ac:dyDescent="0.3">
      <c r="A524" t="s">
        <v>517</v>
      </c>
      <c r="B524" t="s">
        <v>1656</v>
      </c>
      <c r="C524" s="1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  <c r="K524" t="str">
        <f>TEXT(Table1[[#This Row],[PurchaseDate]],"mmm")</f>
        <v>Oct</v>
      </c>
      <c r="L524">
        <f>YEAR(Table1[[#This Row],[PurchaseDate]])</f>
        <v>2024</v>
      </c>
      <c r="M524" t="str">
        <f>IF(Table1[[#This Row],[TotalPrice]]&gt;2000,"High Sales","Low Sales")</f>
        <v>Low Sales</v>
      </c>
    </row>
    <row r="525" spans="1:13" x14ac:dyDescent="0.3">
      <c r="A525" t="s">
        <v>518</v>
      </c>
      <c r="B525" t="s">
        <v>1654</v>
      </c>
      <c r="C525" s="1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  <c r="K525" t="str">
        <f>TEXT(Table1[[#This Row],[PurchaseDate]],"mmm")</f>
        <v>Dec</v>
      </c>
      <c r="L525">
        <f>YEAR(Table1[[#This Row],[PurchaseDate]])</f>
        <v>2024</v>
      </c>
      <c r="M525" t="str">
        <f>IF(Table1[[#This Row],[TotalPrice]]&gt;2000,"High Sales","Low Sales")</f>
        <v>High Sales</v>
      </c>
    </row>
    <row r="526" spans="1:13" x14ac:dyDescent="0.3">
      <c r="A526" t="s">
        <v>519</v>
      </c>
      <c r="B526" t="s">
        <v>1655</v>
      </c>
      <c r="C526" s="1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  <c r="K526" t="str">
        <f>TEXT(Table1[[#This Row],[PurchaseDate]],"mmm")</f>
        <v>Jun</v>
      </c>
      <c r="L526">
        <f>YEAR(Table1[[#This Row],[PurchaseDate]])</f>
        <v>2025</v>
      </c>
      <c r="M526" t="str">
        <f>IF(Table1[[#This Row],[TotalPrice]]&gt;2000,"High Sales","Low Sales")</f>
        <v>Low Sales</v>
      </c>
    </row>
    <row r="527" spans="1:13" x14ac:dyDescent="0.3">
      <c r="A527" t="s">
        <v>520</v>
      </c>
      <c r="B527" t="s">
        <v>1657</v>
      </c>
      <c r="C527" s="1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  <c r="K527" t="str">
        <f>TEXT(Table1[[#This Row],[PurchaseDate]],"mmm")</f>
        <v>Nov</v>
      </c>
      <c r="L527">
        <f>YEAR(Table1[[#This Row],[PurchaseDate]])</f>
        <v>2024</v>
      </c>
      <c r="M527" t="str">
        <f>IF(Table1[[#This Row],[TotalPrice]]&gt;2000,"High Sales","Low Sales")</f>
        <v>High Sales</v>
      </c>
    </row>
    <row r="528" spans="1:13" x14ac:dyDescent="0.3">
      <c r="A528" t="s">
        <v>521</v>
      </c>
      <c r="B528" t="s">
        <v>1658</v>
      </c>
      <c r="C528" s="1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  <c r="K528" t="str">
        <f>TEXT(Table1[[#This Row],[PurchaseDate]],"mmm")</f>
        <v>Jan</v>
      </c>
      <c r="L528">
        <f>YEAR(Table1[[#This Row],[PurchaseDate]])</f>
        <v>2025</v>
      </c>
      <c r="M528" t="str">
        <f>IF(Table1[[#This Row],[TotalPrice]]&gt;2000,"High Sales","Low Sales")</f>
        <v>Low Sales</v>
      </c>
    </row>
    <row r="529" spans="1:13" x14ac:dyDescent="0.3">
      <c r="A529" t="s">
        <v>522</v>
      </c>
      <c r="B529" t="s">
        <v>1653</v>
      </c>
      <c r="C529" s="1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  <c r="K529" t="str">
        <f>TEXT(Table1[[#This Row],[PurchaseDate]],"mmm")</f>
        <v>Apr</v>
      </c>
      <c r="L529">
        <f>YEAR(Table1[[#This Row],[PurchaseDate]])</f>
        <v>2023</v>
      </c>
      <c r="M529" t="str">
        <f>IF(Table1[[#This Row],[TotalPrice]]&gt;2000,"High Sales","Low Sales")</f>
        <v>Low Sales</v>
      </c>
    </row>
    <row r="530" spans="1:13" x14ac:dyDescent="0.3">
      <c r="A530" t="s">
        <v>523</v>
      </c>
      <c r="B530" t="s">
        <v>1654</v>
      </c>
      <c r="C530" s="1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  <c r="K530" t="str">
        <f>TEXT(Table1[[#This Row],[PurchaseDate]],"mmm")</f>
        <v>Nov</v>
      </c>
      <c r="L530">
        <f>YEAR(Table1[[#This Row],[PurchaseDate]])</f>
        <v>2024</v>
      </c>
      <c r="M530" t="str">
        <f>IF(Table1[[#This Row],[TotalPrice]]&gt;2000,"High Sales","Low Sales")</f>
        <v>Low Sales</v>
      </c>
    </row>
    <row r="531" spans="1:13" x14ac:dyDescent="0.3">
      <c r="A531" t="s">
        <v>524</v>
      </c>
      <c r="B531" t="s">
        <v>1657</v>
      </c>
      <c r="C531" s="1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  <c r="K531" t="str">
        <f>TEXT(Table1[[#This Row],[PurchaseDate]],"mmm")</f>
        <v>Jul</v>
      </c>
      <c r="L531">
        <f>YEAR(Table1[[#This Row],[PurchaseDate]])</f>
        <v>2023</v>
      </c>
      <c r="M531" t="str">
        <f>IF(Table1[[#This Row],[TotalPrice]]&gt;2000,"High Sales","Low Sales")</f>
        <v>High Sales</v>
      </c>
    </row>
    <row r="532" spans="1:13" x14ac:dyDescent="0.3">
      <c r="A532" t="s">
        <v>525</v>
      </c>
      <c r="B532" t="s">
        <v>1655</v>
      </c>
      <c r="C532" s="1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  <c r="K532" t="str">
        <f>TEXT(Table1[[#This Row],[PurchaseDate]],"mmm")</f>
        <v>Jan</v>
      </c>
      <c r="L532">
        <f>YEAR(Table1[[#This Row],[PurchaseDate]])</f>
        <v>2025</v>
      </c>
      <c r="M532" t="str">
        <f>IF(Table1[[#This Row],[TotalPrice]]&gt;2000,"High Sales","Low Sales")</f>
        <v>Low Sales</v>
      </c>
    </row>
    <row r="533" spans="1:13" x14ac:dyDescent="0.3">
      <c r="A533" t="s">
        <v>526</v>
      </c>
      <c r="B533" t="s">
        <v>1653</v>
      </c>
      <c r="C533" s="1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  <c r="K533" t="str">
        <f>TEXT(Table1[[#This Row],[PurchaseDate]],"mmm")</f>
        <v>Nov</v>
      </c>
      <c r="L533">
        <f>YEAR(Table1[[#This Row],[PurchaseDate]])</f>
        <v>2024</v>
      </c>
      <c r="M533" t="str">
        <f>IF(Table1[[#This Row],[TotalPrice]]&gt;2000,"High Sales","Low Sales")</f>
        <v>High Sales</v>
      </c>
    </row>
    <row r="534" spans="1:13" x14ac:dyDescent="0.3">
      <c r="A534" t="s">
        <v>527</v>
      </c>
      <c r="B534" t="s">
        <v>1658</v>
      </c>
      <c r="C534" s="1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  <c r="K534" t="str">
        <f>TEXT(Table1[[#This Row],[PurchaseDate]],"mmm")</f>
        <v>Jan</v>
      </c>
      <c r="L534">
        <f>YEAR(Table1[[#This Row],[PurchaseDate]])</f>
        <v>2023</v>
      </c>
      <c r="M534" t="str">
        <f>IF(Table1[[#This Row],[TotalPrice]]&gt;2000,"High Sales","Low Sales")</f>
        <v>Low Sales</v>
      </c>
    </row>
    <row r="535" spans="1:13" x14ac:dyDescent="0.3">
      <c r="A535" t="s">
        <v>528</v>
      </c>
      <c r="B535" t="s">
        <v>1652</v>
      </c>
      <c r="C535" s="1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  <c r="K535" t="str">
        <f>TEXT(Table1[[#This Row],[PurchaseDate]],"mmm")</f>
        <v>Jun</v>
      </c>
      <c r="L535">
        <f>YEAR(Table1[[#This Row],[PurchaseDate]])</f>
        <v>2025</v>
      </c>
      <c r="M535" t="str">
        <f>IF(Table1[[#This Row],[TotalPrice]]&gt;2000,"High Sales","Low Sales")</f>
        <v>High Sales</v>
      </c>
    </row>
    <row r="536" spans="1:13" x14ac:dyDescent="0.3">
      <c r="A536" t="s">
        <v>529</v>
      </c>
      <c r="B536" t="s">
        <v>1652</v>
      </c>
      <c r="C536" s="1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  <c r="K536" t="str">
        <f>TEXT(Table1[[#This Row],[PurchaseDate]],"mmm")</f>
        <v>Dec</v>
      </c>
      <c r="L536">
        <f>YEAR(Table1[[#This Row],[PurchaseDate]])</f>
        <v>2024</v>
      </c>
      <c r="M536" t="str">
        <f>IF(Table1[[#This Row],[TotalPrice]]&gt;2000,"High Sales","Low Sales")</f>
        <v>Low Sales</v>
      </c>
    </row>
    <row r="537" spans="1:13" x14ac:dyDescent="0.3">
      <c r="A537" t="s">
        <v>530</v>
      </c>
      <c r="B537" t="s">
        <v>1656</v>
      </c>
      <c r="C537" s="1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  <c r="K537" t="str">
        <f>TEXT(Table1[[#This Row],[PurchaseDate]],"mmm")</f>
        <v>Jun</v>
      </c>
      <c r="L537">
        <f>YEAR(Table1[[#This Row],[PurchaseDate]])</f>
        <v>2023</v>
      </c>
      <c r="M537" t="str">
        <f>IF(Table1[[#This Row],[TotalPrice]]&gt;2000,"High Sales","Low Sales")</f>
        <v>Low Sales</v>
      </c>
    </row>
    <row r="538" spans="1:13" x14ac:dyDescent="0.3">
      <c r="A538" t="s">
        <v>531</v>
      </c>
      <c r="B538" t="s">
        <v>1654</v>
      </c>
      <c r="C538" s="1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  <c r="K538" t="str">
        <f>TEXT(Table1[[#This Row],[PurchaseDate]],"mmm")</f>
        <v>Jun</v>
      </c>
      <c r="L538">
        <f>YEAR(Table1[[#This Row],[PurchaseDate]])</f>
        <v>2025</v>
      </c>
      <c r="M538" t="str">
        <f>IF(Table1[[#This Row],[TotalPrice]]&gt;2000,"High Sales","Low Sales")</f>
        <v>Low Sales</v>
      </c>
    </row>
    <row r="539" spans="1:13" x14ac:dyDescent="0.3">
      <c r="A539" t="s">
        <v>532</v>
      </c>
      <c r="B539" t="s">
        <v>1653</v>
      </c>
      <c r="C539" s="1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  <c r="K539" t="str">
        <f>TEXT(Table1[[#This Row],[PurchaseDate]],"mmm")</f>
        <v>Feb</v>
      </c>
      <c r="L539">
        <f>YEAR(Table1[[#This Row],[PurchaseDate]])</f>
        <v>2025</v>
      </c>
      <c r="M539" t="str">
        <f>IF(Table1[[#This Row],[TotalPrice]]&gt;2000,"High Sales","Low Sales")</f>
        <v>Low Sales</v>
      </c>
    </row>
    <row r="540" spans="1:13" x14ac:dyDescent="0.3">
      <c r="A540" t="s">
        <v>533</v>
      </c>
      <c r="B540" t="s">
        <v>1658</v>
      </c>
      <c r="C540" s="1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  <c r="K540" t="str">
        <f>TEXT(Table1[[#This Row],[PurchaseDate]],"mmm")</f>
        <v>Nov</v>
      </c>
      <c r="L540">
        <f>YEAR(Table1[[#This Row],[PurchaseDate]])</f>
        <v>2023</v>
      </c>
      <c r="M540" t="str">
        <f>IF(Table1[[#This Row],[TotalPrice]]&gt;2000,"High Sales","Low Sales")</f>
        <v>High Sales</v>
      </c>
    </row>
    <row r="541" spans="1:13" x14ac:dyDescent="0.3">
      <c r="A541" t="s">
        <v>534</v>
      </c>
      <c r="B541" t="s">
        <v>1657</v>
      </c>
      <c r="C541" s="1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  <c r="K541" t="str">
        <f>TEXT(Table1[[#This Row],[PurchaseDate]],"mmm")</f>
        <v>Sep</v>
      </c>
      <c r="L541">
        <f>YEAR(Table1[[#This Row],[PurchaseDate]])</f>
        <v>2023</v>
      </c>
      <c r="M541" t="str">
        <f>IF(Table1[[#This Row],[TotalPrice]]&gt;2000,"High Sales","Low Sales")</f>
        <v>Low Sales</v>
      </c>
    </row>
    <row r="542" spans="1:13" x14ac:dyDescent="0.3">
      <c r="A542" t="s">
        <v>535</v>
      </c>
      <c r="B542" t="s">
        <v>1657</v>
      </c>
      <c r="C542" s="1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  <c r="K542" t="str">
        <f>TEXT(Table1[[#This Row],[PurchaseDate]],"mmm")</f>
        <v>Apr</v>
      </c>
      <c r="L542">
        <f>YEAR(Table1[[#This Row],[PurchaseDate]])</f>
        <v>2024</v>
      </c>
      <c r="M542" t="str">
        <f>IF(Table1[[#This Row],[TotalPrice]]&gt;2000,"High Sales","Low Sales")</f>
        <v>Low Sales</v>
      </c>
    </row>
    <row r="543" spans="1:13" x14ac:dyDescent="0.3">
      <c r="A543" t="s">
        <v>536</v>
      </c>
      <c r="B543" t="s">
        <v>1658</v>
      </c>
      <c r="C543" s="1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  <c r="K543" t="str">
        <f>TEXT(Table1[[#This Row],[PurchaseDate]],"mmm")</f>
        <v>Apr</v>
      </c>
      <c r="L543">
        <f>YEAR(Table1[[#This Row],[PurchaseDate]])</f>
        <v>2024</v>
      </c>
      <c r="M543" t="str">
        <f>IF(Table1[[#This Row],[TotalPrice]]&gt;2000,"High Sales","Low Sales")</f>
        <v>Low Sales</v>
      </c>
    </row>
    <row r="544" spans="1:13" x14ac:dyDescent="0.3">
      <c r="A544" t="s">
        <v>537</v>
      </c>
      <c r="B544" t="s">
        <v>1658</v>
      </c>
      <c r="C544" s="1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  <c r="K544" t="str">
        <f>TEXT(Table1[[#This Row],[PurchaseDate]],"mmm")</f>
        <v>Nov</v>
      </c>
      <c r="L544">
        <f>YEAR(Table1[[#This Row],[PurchaseDate]])</f>
        <v>2024</v>
      </c>
      <c r="M544" t="str">
        <f>IF(Table1[[#This Row],[TotalPrice]]&gt;2000,"High Sales","Low Sales")</f>
        <v>High Sales</v>
      </c>
    </row>
    <row r="545" spans="1:13" x14ac:dyDescent="0.3">
      <c r="A545" t="s">
        <v>538</v>
      </c>
      <c r="B545" t="s">
        <v>1655</v>
      </c>
      <c r="C545" s="1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  <c r="K545" t="str">
        <f>TEXT(Table1[[#This Row],[PurchaseDate]],"mmm")</f>
        <v>Nov</v>
      </c>
      <c r="L545">
        <f>YEAR(Table1[[#This Row],[PurchaseDate]])</f>
        <v>2024</v>
      </c>
      <c r="M545" t="str">
        <f>IF(Table1[[#This Row],[TotalPrice]]&gt;2000,"High Sales","Low Sales")</f>
        <v>High Sales</v>
      </c>
    </row>
    <row r="546" spans="1:13" x14ac:dyDescent="0.3">
      <c r="A546" t="s">
        <v>539</v>
      </c>
      <c r="B546" t="s">
        <v>1657</v>
      </c>
      <c r="C546" s="1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  <c r="K546" t="str">
        <f>TEXT(Table1[[#This Row],[PurchaseDate]],"mmm")</f>
        <v>Feb</v>
      </c>
      <c r="L546">
        <f>YEAR(Table1[[#This Row],[PurchaseDate]])</f>
        <v>2025</v>
      </c>
      <c r="M546" t="str">
        <f>IF(Table1[[#This Row],[TotalPrice]]&gt;2000,"High Sales","Low Sales")</f>
        <v>Low Sales</v>
      </c>
    </row>
    <row r="547" spans="1:13" x14ac:dyDescent="0.3">
      <c r="A547" t="s">
        <v>540</v>
      </c>
      <c r="B547" t="s">
        <v>1655</v>
      </c>
      <c r="C547" s="1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  <c r="K547" t="str">
        <f>TEXT(Table1[[#This Row],[PurchaseDate]],"mmm")</f>
        <v>Jun</v>
      </c>
      <c r="L547">
        <f>YEAR(Table1[[#This Row],[PurchaseDate]])</f>
        <v>2024</v>
      </c>
      <c r="M547" t="str">
        <f>IF(Table1[[#This Row],[TotalPrice]]&gt;2000,"High Sales","Low Sales")</f>
        <v>Low Sales</v>
      </c>
    </row>
    <row r="548" spans="1:13" x14ac:dyDescent="0.3">
      <c r="A548" t="s">
        <v>541</v>
      </c>
      <c r="B548" t="s">
        <v>1658</v>
      </c>
      <c r="C548" s="1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  <c r="K548" t="str">
        <f>TEXT(Table1[[#This Row],[PurchaseDate]],"mmm")</f>
        <v>Oct</v>
      </c>
      <c r="L548">
        <f>YEAR(Table1[[#This Row],[PurchaseDate]])</f>
        <v>2023</v>
      </c>
      <c r="M548" t="str">
        <f>IF(Table1[[#This Row],[TotalPrice]]&gt;2000,"High Sales","Low Sales")</f>
        <v>High Sales</v>
      </c>
    </row>
    <row r="549" spans="1:13" x14ac:dyDescent="0.3">
      <c r="A549" t="s">
        <v>542</v>
      </c>
      <c r="B549" t="s">
        <v>1653</v>
      </c>
      <c r="C549" s="1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  <c r="K549" t="str">
        <f>TEXT(Table1[[#This Row],[PurchaseDate]],"mmm")</f>
        <v>Mar</v>
      </c>
      <c r="L549">
        <f>YEAR(Table1[[#This Row],[PurchaseDate]])</f>
        <v>2025</v>
      </c>
      <c r="M549" t="str">
        <f>IF(Table1[[#This Row],[TotalPrice]]&gt;2000,"High Sales","Low Sales")</f>
        <v>High Sales</v>
      </c>
    </row>
    <row r="550" spans="1:13" x14ac:dyDescent="0.3">
      <c r="A550" t="s">
        <v>543</v>
      </c>
      <c r="B550" t="s">
        <v>1656</v>
      </c>
      <c r="C550" s="1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  <c r="K550" t="str">
        <f>TEXT(Table1[[#This Row],[PurchaseDate]],"mmm")</f>
        <v>Sep</v>
      </c>
      <c r="L550">
        <f>YEAR(Table1[[#This Row],[PurchaseDate]])</f>
        <v>2024</v>
      </c>
      <c r="M550" t="str">
        <f>IF(Table1[[#This Row],[TotalPrice]]&gt;2000,"High Sales","Low Sales")</f>
        <v>Low Sales</v>
      </c>
    </row>
    <row r="551" spans="1:13" x14ac:dyDescent="0.3">
      <c r="A551" t="s">
        <v>175</v>
      </c>
      <c r="B551" t="s">
        <v>1657</v>
      </c>
      <c r="C551" s="1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  <c r="K551" t="str">
        <f>TEXT(Table1[[#This Row],[PurchaseDate]],"mmm")</f>
        <v>Jun</v>
      </c>
      <c r="L551">
        <f>YEAR(Table1[[#This Row],[PurchaseDate]])</f>
        <v>2023</v>
      </c>
      <c r="M551" t="str">
        <f>IF(Table1[[#This Row],[TotalPrice]]&gt;2000,"High Sales","Low Sales")</f>
        <v>High Sales</v>
      </c>
    </row>
    <row r="552" spans="1:13" x14ac:dyDescent="0.3">
      <c r="A552" t="s">
        <v>544</v>
      </c>
      <c r="B552" t="s">
        <v>1657</v>
      </c>
      <c r="C552" s="1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  <c r="K552" t="str">
        <f>TEXT(Table1[[#This Row],[PurchaseDate]],"mmm")</f>
        <v>Nov</v>
      </c>
      <c r="L552">
        <f>YEAR(Table1[[#This Row],[PurchaseDate]])</f>
        <v>2024</v>
      </c>
      <c r="M552" t="str">
        <f>IF(Table1[[#This Row],[TotalPrice]]&gt;2000,"High Sales","Low Sales")</f>
        <v>Low Sales</v>
      </c>
    </row>
    <row r="553" spans="1:13" x14ac:dyDescent="0.3">
      <c r="A553" t="s">
        <v>545</v>
      </c>
      <c r="B553" t="s">
        <v>1653</v>
      </c>
      <c r="C553" s="1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  <c r="K553" t="str">
        <f>TEXT(Table1[[#This Row],[PurchaseDate]],"mmm")</f>
        <v>Mar</v>
      </c>
      <c r="L553">
        <f>YEAR(Table1[[#This Row],[PurchaseDate]])</f>
        <v>2025</v>
      </c>
      <c r="M553" t="str">
        <f>IF(Table1[[#This Row],[TotalPrice]]&gt;2000,"High Sales","Low Sales")</f>
        <v>Low Sales</v>
      </c>
    </row>
    <row r="554" spans="1:13" x14ac:dyDescent="0.3">
      <c r="A554" t="s">
        <v>546</v>
      </c>
      <c r="B554" t="s">
        <v>1652</v>
      </c>
      <c r="C554" s="1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  <c r="K554" t="str">
        <f>TEXT(Table1[[#This Row],[PurchaseDate]],"mmm")</f>
        <v>Jul</v>
      </c>
      <c r="L554">
        <f>YEAR(Table1[[#This Row],[PurchaseDate]])</f>
        <v>2023</v>
      </c>
      <c r="M554" t="str">
        <f>IF(Table1[[#This Row],[TotalPrice]]&gt;2000,"High Sales","Low Sales")</f>
        <v>Low Sales</v>
      </c>
    </row>
    <row r="555" spans="1:13" x14ac:dyDescent="0.3">
      <c r="A555" t="s">
        <v>547</v>
      </c>
      <c r="B555" t="s">
        <v>1657</v>
      </c>
      <c r="C555" s="1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  <c r="K555" t="str">
        <f>TEXT(Table1[[#This Row],[PurchaseDate]],"mmm")</f>
        <v>Apr</v>
      </c>
      <c r="L555">
        <f>YEAR(Table1[[#This Row],[PurchaseDate]])</f>
        <v>2024</v>
      </c>
      <c r="M555" t="str">
        <f>IF(Table1[[#This Row],[TotalPrice]]&gt;2000,"High Sales","Low Sales")</f>
        <v>Low Sales</v>
      </c>
    </row>
    <row r="556" spans="1:13" x14ac:dyDescent="0.3">
      <c r="A556" t="s">
        <v>548</v>
      </c>
      <c r="B556" t="s">
        <v>1658</v>
      </c>
      <c r="C556" s="1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  <c r="K556" t="str">
        <f>TEXT(Table1[[#This Row],[PurchaseDate]],"mmm")</f>
        <v>Oct</v>
      </c>
      <c r="L556">
        <f>YEAR(Table1[[#This Row],[PurchaseDate]])</f>
        <v>2024</v>
      </c>
      <c r="M556" t="str">
        <f>IF(Table1[[#This Row],[TotalPrice]]&gt;2000,"High Sales","Low Sales")</f>
        <v>High Sales</v>
      </c>
    </row>
    <row r="557" spans="1:13" x14ac:dyDescent="0.3">
      <c r="A557" t="s">
        <v>549</v>
      </c>
      <c r="B557" t="s">
        <v>1657</v>
      </c>
      <c r="C557" s="1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  <c r="K557" t="str">
        <f>TEXT(Table1[[#This Row],[PurchaseDate]],"mmm")</f>
        <v>Sep</v>
      </c>
      <c r="L557">
        <f>YEAR(Table1[[#This Row],[PurchaseDate]])</f>
        <v>2023</v>
      </c>
      <c r="M557" t="str">
        <f>IF(Table1[[#This Row],[TotalPrice]]&gt;2000,"High Sales","Low Sales")</f>
        <v>Low Sales</v>
      </c>
    </row>
    <row r="558" spans="1:13" x14ac:dyDescent="0.3">
      <c r="A558" t="s">
        <v>550</v>
      </c>
      <c r="B558" t="s">
        <v>1658</v>
      </c>
      <c r="C558" s="1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  <c r="K558" t="str">
        <f>TEXT(Table1[[#This Row],[PurchaseDate]],"mmm")</f>
        <v>Dec</v>
      </c>
      <c r="L558">
        <f>YEAR(Table1[[#This Row],[PurchaseDate]])</f>
        <v>2024</v>
      </c>
      <c r="M558" t="str">
        <f>IF(Table1[[#This Row],[TotalPrice]]&gt;2000,"High Sales","Low Sales")</f>
        <v>Low Sales</v>
      </c>
    </row>
    <row r="559" spans="1:13" x14ac:dyDescent="0.3">
      <c r="A559" t="s">
        <v>551</v>
      </c>
      <c r="B559" t="s">
        <v>1655</v>
      </c>
      <c r="C559" s="1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  <c r="K559" t="str">
        <f>TEXT(Table1[[#This Row],[PurchaseDate]],"mmm")</f>
        <v>Jan</v>
      </c>
      <c r="L559">
        <f>YEAR(Table1[[#This Row],[PurchaseDate]])</f>
        <v>2024</v>
      </c>
      <c r="M559" t="str">
        <f>IF(Table1[[#This Row],[TotalPrice]]&gt;2000,"High Sales","Low Sales")</f>
        <v>High Sales</v>
      </c>
    </row>
    <row r="560" spans="1:13" x14ac:dyDescent="0.3">
      <c r="A560" t="s">
        <v>552</v>
      </c>
      <c r="B560" t="s">
        <v>1652</v>
      </c>
      <c r="C560" s="1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  <c r="K560" t="str">
        <f>TEXT(Table1[[#This Row],[PurchaseDate]],"mmm")</f>
        <v>Oct</v>
      </c>
      <c r="L560">
        <f>YEAR(Table1[[#This Row],[PurchaseDate]])</f>
        <v>2024</v>
      </c>
      <c r="M560" t="str">
        <f>IF(Table1[[#This Row],[TotalPrice]]&gt;2000,"High Sales","Low Sales")</f>
        <v>Low Sales</v>
      </c>
    </row>
    <row r="561" spans="1:13" x14ac:dyDescent="0.3">
      <c r="A561" t="s">
        <v>553</v>
      </c>
      <c r="B561" t="s">
        <v>1654</v>
      </c>
      <c r="C561" s="1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  <c r="K561" t="str">
        <f>TEXT(Table1[[#This Row],[PurchaseDate]],"mmm")</f>
        <v>Jan</v>
      </c>
      <c r="L561">
        <f>YEAR(Table1[[#This Row],[PurchaseDate]])</f>
        <v>2025</v>
      </c>
      <c r="M561" t="str">
        <f>IF(Table1[[#This Row],[TotalPrice]]&gt;2000,"High Sales","Low Sales")</f>
        <v>High Sales</v>
      </c>
    </row>
    <row r="562" spans="1:13" x14ac:dyDescent="0.3">
      <c r="A562" t="s">
        <v>554</v>
      </c>
      <c r="B562" t="s">
        <v>1654</v>
      </c>
      <c r="C562" s="1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  <c r="K562" t="str">
        <f>TEXT(Table1[[#This Row],[PurchaseDate]],"mmm")</f>
        <v>Mar</v>
      </c>
      <c r="L562">
        <f>YEAR(Table1[[#This Row],[PurchaseDate]])</f>
        <v>2025</v>
      </c>
      <c r="M562" t="str">
        <f>IF(Table1[[#This Row],[TotalPrice]]&gt;2000,"High Sales","Low Sales")</f>
        <v>High Sales</v>
      </c>
    </row>
    <row r="563" spans="1:13" x14ac:dyDescent="0.3">
      <c r="A563" t="s">
        <v>555</v>
      </c>
      <c r="B563" t="s">
        <v>1657</v>
      </c>
      <c r="C563" s="1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  <c r="K563" t="str">
        <f>TEXT(Table1[[#This Row],[PurchaseDate]],"mmm")</f>
        <v>Sep</v>
      </c>
      <c r="L563">
        <f>YEAR(Table1[[#This Row],[PurchaseDate]])</f>
        <v>2024</v>
      </c>
      <c r="M563" t="str">
        <f>IF(Table1[[#This Row],[TotalPrice]]&gt;2000,"High Sales","Low Sales")</f>
        <v>High Sales</v>
      </c>
    </row>
    <row r="564" spans="1:13" x14ac:dyDescent="0.3">
      <c r="A564" t="s">
        <v>556</v>
      </c>
      <c r="B564" t="s">
        <v>1657</v>
      </c>
      <c r="C564" s="1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  <c r="K564" t="str">
        <f>TEXT(Table1[[#This Row],[PurchaseDate]],"mmm")</f>
        <v>Nov</v>
      </c>
      <c r="L564">
        <f>YEAR(Table1[[#This Row],[PurchaseDate]])</f>
        <v>2023</v>
      </c>
      <c r="M564" t="str">
        <f>IF(Table1[[#This Row],[TotalPrice]]&gt;2000,"High Sales","Low Sales")</f>
        <v>Low Sales</v>
      </c>
    </row>
    <row r="565" spans="1:13" x14ac:dyDescent="0.3">
      <c r="A565" t="s">
        <v>557</v>
      </c>
      <c r="B565" t="s">
        <v>1652</v>
      </c>
      <c r="C565" s="1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  <c r="K565" t="str">
        <f>TEXT(Table1[[#This Row],[PurchaseDate]],"mmm")</f>
        <v>Feb</v>
      </c>
      <c r="L565">
        <f>YEAR(Table1[[#This Row],[PurchaseDate]])</f>
        <v>2024</v>
      </c>
      <c r="M565" t="str">
        <f>IF(Table1[[#This Row],[TotalPrice]]&gt;2000,"High Sales","Low Sales")</f>
        <v>High Sales</v>
      </c>
    </row>
    <row r="566" spans="1:13" x14ac:dyDescent="0.3">
      <c r="A566" t="s">
        <v>558</v>
      </c>
      <c r="B566" t="s">
        <v>1653</v>
      </c>
      <c r="C566" s="1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  <c r="K566" t="str">
        <f>TEXT(Table1[[#This Row],[PurchaseDate]],"mmm")</f>
        <v>Nov</v>
      </c>
      <c r="L566">
        <f>YEAR(Table1[[#This Row],[PurchaseDate]])</f>
        <v>2024</v>
      </c>
      <c r="M566" t="str">
        <f>IF(Table1[[#This Row],[TotalPrice]]&gt;2000,"High Sales","Low Sales")</f>
        <v>Low Sales</v>
      </c>
    </row>
    <row r="567" spans="1:13" x14ac:dyDescent="0.3">
      <c r="A567" t="s">
        <v>559</v>
      </c>
      <c r="B567" t="s">
        <v>1657</v>
      </c>
      <c r="C567" s="1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  <c r="K567" t="str">
        <f>TEXT(Table1[[#This Row],[PurchaseDate]],"mmm")</f>
        <v>Aug</v>
      </c>
      <c r="L567">
        <f>YEAR(Table1[[#This Row],[PurchaseDate]])</f>
        <v>2024</v>
      </c>
      <c r="M567" t="str">
        <f>IF(Table1[[#This Row],[TotalPrice]]&gt;2000,"High Sales","Low Sales")</f>
        <v>High Sales</v>
      </c>
    </row>
    <row r="568" spans="1:13" x14ac:dyDescent="0.3">
      <c r="A568" t="s">
        <v>560</v>
      </c>
      <c r="B568" t="s">
        <v>1654</v>
      </c>
      <c r="C568" s="1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  <c r="K568" t="str">
        <f>TEXT(Table1[[#This Row],[PurchaseDate]],"mmm")</f>
        <v>Jul</v>
      </c>
      <c r="L568">
        <f>YEAR(Table1[[#This Row],[PurchaseDate]])</f>
        <v>2024</v>
      </c>
      <c r="M568" t="str">
        <f>IF(Table1[[#This Row],[TotalPrice]]&gt;2000,"High Sales","Low Sales")</f>
        <v>High Sales</v>
      </c>
    </row>
    <row r="569" spans="1:13" x14ac:dyDescent="0.3">
      <c r="A569" t="s">
        <v>561</v>
      </c>
      <c r="B569" t="s">
        <v>1654</v>
      </c>
      <c r="C569" s="1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  <c r="K569" t="str">
        <f>TEXT(Table1[[#This Row],[PurchaseDate]],"mmm")</f>
        <v>Feb</v>
      </c>
      <c r="L569">
        <f>YEAR(Table1[[#This Row],[PurchaseDate]])</f>
        <v>2025</v>
      </c>
      <c r="M569" t="str">
        <f>IF(Table1[[#This Row],[TotalPrice]]&gt;2000,"High Sales","Low Sales")</f>
        <v>Low Sales</v>
      </c>
    </row>
    <row r="570" spans="1:13" x14ac:dyDescent="0.3">
      <c r="A570" t="s">
        <v>562</v>
      </c>
      <c r="B570" t="s">
        <v>1654</v>
      </c>
      <c r="C570" s="1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  <c r="K570" t="str">
        <f>TEXT(Table1[[#This Row],[PurchaseDate]],"mmm")</f>
        <v>Mar</v>
      </c>
      <c r="L570">
        <f>YEAR(Table1[[#This Row],[PurchaseDate]])</f>
        <v>2024</v>
      </c>
      <c r="M570" t="str">
        <f>IF(Table1[[#This Row],[TotalPrice]]&gt;2000,"High Sales","Low Sales")</f>
        <v>High Sales</v>
      </c>
    </row>
    <row r="571" spans="1:13" x14ac:dyDescent="0.3">
      <c r="A571" t="s">
        <v>259</v>
      </c>
      <c r="B571" t="s">
        <v>1655</v>
      </c>
      <c r="C571" s="1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  <c r="K571" t="str">
        <f>TEXT(Table1[[#This Row],[PurchaseDate]],"mmm")</f>
        <v>Nov</v>
      </c>
      <c r="L571">
        <f>YEAR(Table1[[#This Row],[PurchaseDate]])</f>
        <v>2024</v>
      </c>
      <c r="M571" t="str">
        <f>IF(Table1[[#This Row],[TotalPrice]]&gt;2000,"High Sales","Low Sales")</f>
        <v>Low Sales</v>
      </c>
    </row>
    <row r="572" spans="1:13" x14ac:dyDescent="0.3">
      <c r="A572" t="s">
        <v>563</v>
      </c>
      <c r="B572" t="s">
        <v>1656</v>
      </c>
      <c r="C572" s="1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  <c r="K572" t="str">
        <f>TEXT(Table1[[#This Row],[PurchaseDate]],"mmm")</f>
        <v>May</v>
      </c>
      <c r="L572">
        <f>YEAR(Table1[[#This Row],[PurchaseDate]])</f>
        <v>2023</v>
      </c>
      <c r="M572" t="str">
        <f>IF(Table1[[#This Row],[TotalPrice]]&gt;2000,"High Sales","Low Sales")</f>
        <v>Low Sales</v>
      </c>
    </row>
    <row r="573" spans="1:13" x14ac:dyDescent="0.3">
      <c r="A573" t="s">
        <v>564</v>
      </c>
      <c r="B573" t="s">
        <v>1653</v>
      </c>
      <c r="C573" s="1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  <c r="K573" t="str">
        <f>TEXT(Table1[[#This Row],[PurchaseDate]],"mmm")</f>
        <v>Dec</v>
      </c>
      <c r="L573">
        <f>YEAR(Table1[[#This Row],[PurchaseDate]])</f>
        <v>2024</v>
      </c>
      <c r="M573" t="str">
        <f>IF(Table1[[#This Row],[TotalPrice]]&gt;2000,"High Sales","Low Sales")</f>
        <v>High Sales</v>
      </c>
    </row>
    <row r="574" spans="1:13" x14ac:dyDescent="0.3">
      <c r="A574" t="s">
        <v>565</v>
      </c>
      <c r="B574" t="s">
        <v>1658</v>
      </c>
      <c r="C574" s="1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  <c r="K574" t="str">
        <f>TEXT(Table1[[#This Row],[PurchaseDate]],"mmm")</f>
        <v>Nov</v>
      </c>
      <c r="L574">
        <f>YEAR(Table1[[#This Row],[PurchaseDate]])</f>
        <v>2024</v>
      </c>
      <c r="M574" t="str">
        <f>IF(Table1[[#This Row],[TotalPrice]]&gt;2000,"High Sales","Low Sales")</f>
        <v>High Sales</v>
      </c>
    </row>
    <row r="575" spans="1:13" x14ac:dyDescent="0.3">
      <c r="A575" t="s">
        <v>566</v>
      </c>
      <c r="B575" t="s">
        <v>1658</v>
      </c>
      <c r="C575" s="1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  <c r="K575" t="str">
        <f>TEXT(Table1[[#This Row],[PurchaseDate]],"mmm")</f>
        <v>Feb</v>
      </c>
      <c r="L575">
        <f>YEAR(Table1[[#This Row],[PurchaseDate]])</f>
        <v>2025</v>
      </c>
      <c r="M575" t="str">
        <f>IF(Table1[[#This Row],[TotalPrice]]&gt;2000,"High Sales","Low Sales")</f>
        <v>High Sales</v>
      </c>
    </row>
    <row r="576" spans="1:13" x14ac:dyDescent="0.3">
      <c r="A576" t="s">
        <v>567</v>
      </c>
      <c r="B576" t="s">
        <v>1656</v>
      </c>
      <c r="C576" s="1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  <c r="K576" t="str">
        <f>TEXT(Table1[[#This Row],[PurchaseDate]],"mmm")</f>
        <v>Mar</v>
      </c>
      <c r="L576">
        <f>YEAR(Table1[[#This Row],[PurchaseDate]])</f>
        <v>2025</v>
      </c>
      <c r="M576" t="str">
        <f>IF(Table1[[#This Row],[TotalPrice]]&gt;2000,"High Sales","Low Sales")</f>
        <v>High Sales</v>
      </c>
    </row>
    <row r="577" spans="1:13" x14ac:dyDescent="0.3">
      <c r="A577" t="s">
        <v>568</v>
      </c>
      <c r="B577" t="s">
        <v>1652</v>
      </c>
      <c r="C577" s="1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  <c r="K577" t="str">
        <f>TEXT(Table1[[#This Row],[PurchaseDate]],"mmm")</f>
        <v>Aug</v>
      </c>
      <c r="L577">
        <f>YEAR(Table1[[#This Row],[PurchaseDate]])</f>
        <v>2024</v>
      </c>
      <c r="M577" t="str">
        <f>IF(Table1[[#This Row],[TotalPrice]]&gt;2000,"High Sales","Low Sales")</f>
        <v>High Sales</v>
      </c>
    </row>
    <row r="578" spans="1:13" x14ac:dyDescent="0.3">
      <c r="A578" t="s">
        <v>94</v>
      </c>
      <c r="B578" t="s">
        <v>1654</v>
      </c>
      <c r="C578" s="1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  <c r="K578" t="str">
        <f>TEXT(Table1[[#This Row],[PurchaseDate]],"mmm")</f>
        <v>Dec</v>
      </c>
      <c r="L578">
        <f>YEAR(Table1[[#This Row],[PurchaseDate]])</f>
        <v>2024</v>
      </c>
      <c r="M578" t="str">
        <f>IF(Table1[[#This Row],[TotalPrice]]&gt;2000,"High Sales","Low Sales")</f>
        <v>Low Sales</v>
      </c>
    </row>
    <row r="579" spans="1:13" x14ac:dyDescent="0.3">
      <c r="A579" t="s">
        <v>192</v>
      </c>
      <c r="B579" t="s">
        <v>1657</v>
      </c>
      <c r="C579" s="1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  <c r="K579" t="str">
        <f>TEXT(Table1[[#This Row],[PurchaseDate]],"mmm")</f>
        <v>Jun</v>
      </c>
      <c r="L579">
        <f>YEAR(Table1[[#This Row],[PurchaseDate]])</f>
        <v>2024</v>
      </c>
      <c r="M579" t="str">
        <f>IF(Table1[[#This Row],[TotalPrice]]&gt;2000,"High Sales","Low Sales")</f>
        <v>Low Sales</v>
      </c>
    </row>
    <row r="580" spans="1:13" x14ac:dyDescent="0.3">
      <c r="A580" t="s">
        <v>569</v>
      </c>
      <c r="B580" t="s">
        <v>1658</v>
      </c>
      <c r="C580" s="1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  <c r="K580" t="str">
        <f>TEXT(Table1[[#This Row],[PurchaseDate]],"mmm")</f>
        <v>Apr</v>
      </c>
      <c r="L580">
        <f>YEAR(Table1[[#This Row],[PurchaseDate]])</f>
        <v>2025</v>
      </c>
      <c r="M580" t="str">
        <f>IF(Table1[[#This Row],[TotalPrice]]&gt;2000,"High Sales","Low Sales")</f>
        <v>Low Sales</v>
      </c>
    </row>
    <row r="581" spans="1:13" x14ac:dyDescent="0.3">
      <c r="A581" t="s">
        <v>570</v>
      </c>
      <c r="B581" t="s">
        <v>1658</v>
      </c>
      <c r="C581" s="1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  <c r="K581" t="str">
        <f>TEXT(Table1[[#This Row],[PurchaseDate]],"mmm")</f>
        <v>Mar</v>
      </c>
      <c r="L581">
        <f>YEAR(Table1[[#This Row],[PurchaseDate]])</f>
        <v>2025</v>
      </c>
      <c r="M581" t="str">
        <f>IF(Table1[[#This Row],[TotalPrice]]&gt;2000,"High Sales","Low Sales")</f>
        <v>High Sales</v>
      </c>
    </row>
    <row r="582" spans="1:13" x14ac:dyDescent="0.3">
      <c r="A582" t="s">
        <v>571</v>
      </c>
      <c r="B582" t="s">
        <v>1656</v>
      </c>
      <c r="C582" s="1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  <c r="K582" t="str">
        <f>TEXT(Table1[[#This Row],[PurchaseDate]],"mmm")</f>
        <v>Dec</v>
      </c>
      <c r="L582">
        <f>YEAR(Table1[[#This Row],[PurchaseDate]])</f>
        <v>2024</v>
      </c>
      <c r="M582" t="str">
        <f>IF(Table1[[#This Row],[TotalPrice]]&gt;2000,"High Sales","Low Sales")</f>
        <v>Low Sales</v>
      </c>
    </row>
    <row r="583" spans="1:13" x14ac:dyDescent="0.3">
      <c r="A583" t="s">
        <v>572</v>
      </c>
      <c r="B583" t="s">
        <v>1656</v>
      </c>
      <c r="C583" s="1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  <c r="K583" t="str">
        <f>TEXT(Table1[[#This Row],[PurchaseDate]],"mmm")</f>
        <v>Jun</v>
      </c>
      <c r="L583">
        <f>YEAR(Table1[[#This Row],[PurchaseDate]])</f>
        <v>2024</v>
      </c>
      <c r="M583" t="str">
        <f>IF(Table1[[#This Row],[TotalPrice]]&gt;2000,"High Sales","Low Sales")</f>
        <v>High Sales</v>
      </c>
    </row>
    <row r="584" spans="1:13" x14ac:dyDescent="0.3">
      <c r="A584" t="s">
        <v>573</v>
      </c>
      <c r="B584" t="s">
        <v>1658</v>
      </c>
      <c r="C584" s="1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  <c r="K584" t="str">
        <f>TEXT(Table1[[#This Row],[PurchaseDate]],"mmm")</f>
        <v>Apr</v>
      </c>
      <c r="L584">
        <f>YEAR(Table1[[#This Row],[PurchaseDate]])</f>
        <v>2024</v>
      </c>
      <c r="M584" t="str">
        <f>IF(Table1[[#This Row],[TotalPrice]]&gt;2000,"High Sales","Low Sales")</f>
        <v>Low Sales</v>
      </c>
    </row>
    <row r="585" spans="1:13" x14ac:dyDescent="0.3">
      <c r="A585" t="s">
        <v>103</v>
      </c>
      <c r="B585" t="s">
        <v>1652</v>
      </c>
      <c r="C585" s="1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  <c r="K585" t="str">
        <f>TEXT(Table1[[#This Row],[PurchaseDate]],"mmm")</f>
        <v>Feb</v>
      </c>
      <c r="L585">
        <f>YEAR(Table1[[#This Row],[PurchaseDate]])</f>
        <v>2023</v>
      </c>
      <c r="M585" t="str">
        <f>IF(Table1[[#This Row],[TotalPrice]]&gt;2000,"High Sales","Low Sales")</f>
        <v>Low Sales</v>
      </c>
    </row>
    <row r="586" spans="1:13" x14ac:dyDescent="0.3">
      <c r="A586" t="s">
        <v>574</v>
      </c>
      <c r="B586" t="s">
        <v>1653</v>
      </c>
      <c r="C586" s="1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  <c r="K586" t="str">
        <f>TEXT(Table1[[#This Row],[PurchaseDate]],"mmm")</f>
        <v>Mar</v>
      </c>
      <c r="L586">
        <f>YEAR(Table1[[#This Row],[PurchaseDate]])</f>
        <v>2024</v>
      </c>
      <c r="M586" t="str">
        <f>IF(Table1[[#This Row],[TotalPrice]]&gt;2000,"High Sales","Low Sales")</f>
        <v>High Sales</v>
      </c>
    </row>
    <row r="587" spans="1:13" x14ac:dyDescent="0.3">
      <c r="A587" t="s">
        <v>575</v>
      </c>
      <c r="B587" t="s">
        <v>1653</v>
      </c>
      <c r="C587" s="1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  <c r="K587" t="str">
        <f>TEXT(Table1[[#This Row],[PurchaseDate]],"mmm")</f>
        <v>Jan</v>
      </c>
      <c r="L587">
        <f>YEAR(Table1[[#This Row],[PurchaseDate]])</f>
        <v>2024</v>
      </c>
      <c r="M587" t="str">
        <f>IF(Table1[[#This Row],[TotalPrice]]&gt;2000,"High Sales","Low Sales")</f>
        <v>Low Sales</v>
      </c>
    </row>
    <row r="588" spans="1:13" x14ac:dyDescent="0.3">
      <c r="A588" t="s">
        <v>576</v>
      </c>
      <c r="B588" t="s">
        <v>1652</v>
      </c>
      <c r="C588" s="1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  <c r="K588" t="str">
        <f>TEXT(Table1[[#This Row],[PurchaseDate]],"mmm")</f>
        <v>Jul</v>
      </c>
      <c r="L588">
        <f>YEAR(Table1[[#This Row],[PurchaseDate]])</f>
        <v>2023</v>
      </c>
      <c r="M588" t="str">
        <f>IF(Table1[[#This Row],[TotalPrice]]&gt;2000,"High Sales","Low Sales")</f>
        <v>High Sales</v>
      </c>
    </row>
    <row r="589" spans="1:13" x14ac:dyDescent="0.3">
      <c r="A589" t="s">
        <v>577</v>
      </c>
      <c r="B589" t="s">
        <v>1652</v>
      </c>
      <c r="C589" s="1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  <c r="K589" t="str">
        <f>TEXT(Table1[[#This Row],[PurchaseDate]],"mmm")</f>
        <v>Feb</v>
      </c>
      <c r="L589">
        <f>YEAR(Table1[[#This Row],[PurchaseDate]])</f>
        <v>2025</v>
      </c>
      <c r="M589" t="str">
        <f>IF(Table1[[#This Row],[TotalPrice]]&gt;2000,"High Sales","Low Sales")</f>
        <v>High Sales</v>
      </c>
    </row>
    <row r="590" spans="1:13" x14ac:dyDescent="0.3">
      <c r="A590" t="s">
        <v>578</v>
      </c>
      <c r="B590" t="s">
        <v>1657</v>
      </c>
      <c r="C590" s="1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  <c r="K590" t="str">
        <f>TEXT(Table1[[#This Row],[PurchaseDate]],"mmm")</f>
        <v>Jun</v>
      </c>
      <c r="L590">
        <f>YEAR(Table1[[#This Row],[PurchaseDate]])</f>
        <v>2025</v>
      </c>
      <c r="M590" t="str">
        <f>IF(Table1[[#This Row],[TotalPrice]]&gt;2000,"High Sales","Low Sales")</f>
        <v>Low Sales</v>
      </c>
    </row>
    <row r="591" spans="1:13" x14ac:dyDescent="0.3">
      <c r="A591" t="s">
        <v>579</v>
      </c>
      <c r="B591" t="s">
        <v>1654</v>
      </c>
      <c r="C591" s="1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  <c r="K591" t="str">
        <f>TEXT(Table1[[#This Row],[PurchaseDate]],"mmm")</f>
        <v>Oct</v>
      </c>
      <c r="L591">
        <f>YEAR(Table1[[#This Row],[PurchaseDate]])</f>
        <v>2024</v>
      </c>
      <c r="M591" t="str">
        <f>IF(Table1[[#This Row],[TotalPrice]]&gt;2000,"High Sales","Low Sales")</f>
        <v>High Sales</v>
      </c>
    </row>
    <row r="592" spans="1:13" x14ac:dyDescent="0.3">
      <c r="A592" t="s">
        <v>580</v>
      </c>
      <c r="B592" t="s">
        <v>1654</v>
      </c>
      <c r="C592" s="1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  <c r="K592" t="str">
        <f>TEXT(Table1[[#This Row],[PurchaseDate]],"mmm")</f>
        <v>Jul</v>
      </c>
      <c r="L592">
        <f>YEAR(Table1[[#This Row],[PurchaseDate]])</f>
        <v>2024</v>
      </c>
      <c r="M592" t="str">
        <f>IF(Table1[[#This Row],[TotalPrice]]&gt;2000,"High Sales","Low Sales")</f>
        <v>Low Sales</v>
      </c>
    </row>
    <row r="593" spans="1:13" x14ac:dyDescent="0.3">
      <c r="A593" t="s">
        <v>581</v>
      </c>
      <c r="B593" t="s">
        <v>1657</v>
      </c>
      <c r="C593" s="1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  <c r="K593" t="str">
        <f>TEXT(Table1[[#This Row],[PurchaseDate]],"mmm")</f>
        <v>Nov</v>
      </c>
      <c r="L593">
        <f>YEAR(Table1[[#This Row],[PurchaseDate]])</f>
        <v>2024</v>
      </c>
      <c r="M593" t="str">
        <f>IF(Table1[[#This Row],[TotalPrice]]&gt;2000,"High Sales","Low Sales")</f>
        <v>Low Sales</v>
      </c>
    </row>
    <row r="594" spans="1:13" x14ac:dyDescent="0.3">
      <c r="A594" t="s">
        <v>374</v>
      </c>
      <c r="B594" t="s">
        <v>1657</v>
      </c>
      <c r="C594" s="1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  <c r="K594" t="str">
        <f>TEXT(Table1[[#This Row],[PurchaseDate]],"mmm")</f>
        <v>Apr</v>
      </c>
      <c r="L594">
        <f>YEAR(Table1[[#This Row],[PurchaseDate]])</f>
        <v>2024</v>
      </c>
      <c r="M594" t="str">
        <f>IF(Table1[[#This Row],[TotalPrice]]&gt;2000,"High Sales","Low Sales")</f>
        <v>Low Sales</v>
      </c>
    </row>
    <row r="595" spans="1:13" x14ac:dyDescent="0.3">
      <c r="A595" t="s">
        <v>582</v>
      </c>
      <c r="B595" t="s">
        <v>1654</v>
      </c>
      <c r="C595" s="1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  <c r="K595" t="str">
        <f>TEXT(Table1[[#This Row],[PurchaseDate]],"mmm")</f>
        <v>Dec</v>
      </c>
      <c r="L595">
        <f>YEAR(Table1[[#This Row],[PurchaseDate]])</f>
        <v>2024</v>
      </c>
      <c r="M595" t="str">
        <f>IF(Table1[[#This Row],[TotalPrice]]&gt;2000,"High Sales","Low Sales")</f>
        <v>Low Sales</v>
      </c>
    </row>
    <row r="596" spans="1:13" x14ac:dyDescent="0.3">
      <c r="A596" t="s">
        <v>583</v>
      </c>
      <c r="B596" t="s">
        <v>1654</v>
      </c>
      <c r="C596" s="1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  <c r="K596" t="str">
        <f>TEXT(Table1[[#This Row],[PurchaseDate]],"mmm")</f>
        <v>Mar</v>
      </c>
      <c r="L596">
        <f>YEAR(Table1[[#This Row],[PurchaseDate]])</f>
        <v>2024</v>
      </c>
      <c r="M596" t="str">
        <f>IF(Table1[[#This Row],[TotalPrice]]&gt;2000,"High Sales","Low Sales")</f>
        <v>Low Sales</v>
      </c>
    </row>
    <row r="597" spans="1:13" x14ac:dyDescent="0.3">
      <c r="A597" t="s">
        <v>584</v>
      </c>
      <c r="B597" t="s">
        <v>1658</v>
      </c>
      <c r="C597" s="1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  <c r="K597" t="str">
        <f>TEXT(Table1[[#This Row],[PurchaseDate]],"mmm")</f>
        <v>Jun</v>
      </c>
      <c r="L597">
        <f>YEAR(Table1[[#This Row],[PurchaseDate]])</f>
        <v>2023</v>
      </c>
      <c r="M597" t="str">
        <f>IF(Table1[[#This Row],[TotalPrice]]&gt;2000,"High Sales","Low Sales")</f>
        <v>High Sales</v>
      </c>
    </row>
    <row r="598" spans="1:13" x14ac:dyDescent="0.3">
      <c r="A598" t="s">
        <v>585</v>
      </c>
      <c r="B598" t="s">
        <v>1654</v>
      </c>
      <c r="C598" s="1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  <c r="K598" t="str">
        <f>TEXT(Table1[[#This Row],[PurchaseDate]],"mmm")</f>
        <v>Jun</v>
      </c>
      <c r="L598">
        <f>YEAR(Table1[[#This Row],[PurchaseDate]])</f>
        <v>2023</v>
      </c>
      <c r="M598" t="str">
        <f>IF(Table1[[#This Row],[TotalPrice]]&gt;2000,"High Sales","Low Sales")</f>
        <v>High Sales</v>
      </c>
    </row>
    <row r="599" spans="1:13" x14ac:dyDescent="0.3">
      <c r="A599" t="s">
        <v>586</v>
      </c>
      <c r="B599" t="s">
        <v>1655</v>
      </c>
      <c r="C599" s="1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  <c r="K599" t="str">
        <f>TEXT(Table1[[#This Row],[PurchaseDate]],"mmm")</f>
        <v>Jun</v>
      </c>
      <c r="L599">
        <f>YEAR(Table1[[#This Row],[PurchaseDate]])</f>
        <v>2025</v>
      </c>
      <c r="M599" t="str">
        <f>IF(Table1[[#This Row],[TotalPrice]]&gt;2000,"High Sales","Low Sales")</f>
        <v>Low Sales</v>
      </c>
    </row>
    <row r="600" spans="1:13" x14ac:dyDescent="0.3">
      <c r="A600" t="s">
        <v>587</v>
      </c>
      <c r="B600" t="s">
        <v>1658</v>
      </c>
      <c r="C600" s="1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  <c r="K600" t="str">
        <f>TEXT(Table1[[#This Row],[PurchaseDate]],"mmm")</f>
        <v>Jan</v>
      </c>
      <c r="L600">
        <f>YEAR(Table1[[#This Row],[PurchaseDate]])</f>
        <v>2023</v>
      </c>
      <c r="M600" t="str">
        <f>IF(Table1[[#This Row],[TotalPrice]]&gt;2000,"High Sales","Low Sales")</f>
        <v>Low Sales</v>
      </c>
    </row>
    <row r="601" spans="1:13" x14ac:dyDescent="0.3">
      <c r="A601" t="s">
        <v>588</v>
      </c>
      <c r="B601" t="s">
        <v>1654</v>
      </c>
      <c r="C601" s="1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  <c r="K601" t="str">
        <f>TEXT(Table1[[#This Row],[PurchaseDate]],"mmm")</f>
        <v>Dec</v>
      </c>
      <c r="L601">
        <f>YEAR(Table1[[#This Row],[PurchaseDate]])</f>
        <v>2024</v>
      </c>
      <c r="M601" t="str">
        <f>IF(Table1[[#This Row],[TotalPrice]]&gt;2000,"High Sales","Low Sales")</f>
        <v>High Sales</v>
      </c>
    </row>
    <row r="602" spans="1:13" x14ac:dyDescent="0.3">
      <c r="A602" t="s">
        <v>589</v>
      </c>
      <c r="B602" t="s">
        <v>1658</v>
      </c>
      <c r="C602" s="1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  <c r="K602" t="str">
        <f>TEXT(Table1[[#This Row],[PurchaseDate]],"mmm")</f>
        <v>Jan</v>
      </c>
      <c r="L602">
        <f>YEAR(Table1[[#This Row],[PurchaseDate]])</f>
        <v>2025</v>
      </c>
      <c r="M602" t="str">
        <f>IF(Table1[[#This Row],[TotalPrice]]&gt;2000,"High Sales","Low Sales")</f>
        <v>High Sales</v>
      </c>
    </row>
    <row r="603" spans="1:13" x14ac:dyDescent="0.3">
      <c r="A603" t="s">
        <v>590</v>
      </c>
      <c r="B603" t="s">
        <v>1652</v>
      </c>
      <c r="C603" s="1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  <c r="K603" t="str">
        <f>TEXT(Table1[[#This Row],[PurchaseDate]],"mmm")</f>
        <v>May</v>
      </c>
      <c r="L603">
        <f>YEAR(Table1[[#This Row],[PurchaseDate]])</f>
        <v>2025</v>
      </c>
      <c r="M603" t="str">
        <f>IF(Table1[[#This Row],[TotalPrice]]&gt;2000,"High Sales","Low Sales")</f>
        <v>Low Sales</v>
      </c>
    </row>
    <row r="604" spans="1:13" x14ac:dyDescent="0.3">
      <c r="A604" t="s">
        <v>591</v>
      </c>
      <c r="B604" t="s">
        <v>1655</v>
      </c>
      <c r="C604" s="1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  <c r="K604" t="str">
        <f>TEXT(Table1[[#This Row],[PurchaseDate]],"mmm")</f>
        <v>Nov</v>
      </c>
      <c r="L604">
        <f>YEAR(Table1[[#This Row],[PurchaseDate]])</f>
        <v>2023</v>
      </c>
      <c r="M604" t="str">
        <f>IF(Table1[[#This Row],[TotalPrice]]&gt;2000,"High Sales","Low Sales")</f>
        <v>High Sales</v>
      </c>
    </row>
    <row r="605" spans="1:13" x14ac:dyDescent="0.3">
      <c r="A605" t="s">
        <v>592</v>
      </c>
      <c r="B605" t="s">
        <v>1654</v>
      </c>
      <c r="C605" s="1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  <c r="K605" t="str">
        <f>TEXT(Table1[[#This Row],[PurchaseDate]],"mmm")</f>
        <v>Jan</v>
      </c>
      <c r="L605">
        <f>YEAR(Table1[[#This Row],[PurchaseDate]])</f>
        <v>2023</v>
      </c>
      <c r="M605" t="str">
        <f>IF(Table1[[#This Row],[TotalPrice]]&gt;2000,"High Sales","Low Sales")</f>
        <v>Low Sales</v>
      </c>
    </row>
    <row r="606" spans="1:13" x14ac:dyDescent="0.3">
      <c r="A606" t="s">
        <v>593</v>
      </c>
      <c r="B606" t="s">
        <v>1656</v>
      </c>
      <c r="C606" s="1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  <c r="K606" t="str">
        <f>TEXT(Table1[[#This Row],[PurchaseDate]],"mmm")</f>
        <v>Oct</v>
      </c>
      <c r="L606">
        <f>YEAR(Table1[[#This Row],[PurchaseDate]])</f>
        <v>2024</v>
      </c>
      <c r="M606" t="str">
        <f>IF(Table1[[#This Row],[TotalPrice]]&gt;2000,"High Sales","Low Sales")</f>
        <v>Low Sales</v>
      </c>
    </row>
    <row r="607" spans="1:13" x14ac:dyDescent="0.3">
      <c r="A607" t="s">
        <v>594</v>
      </c>
      <c r="B607" t="s">
        <v>1658</v>
      </c>
      <c r="C607" s="1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  <c r="K607" t="str">
        <f>TEXT(Table1[[#This Row],[PurchaseDate]],"mmm")</f>
        <v>Jun</v>
      </c>
      <c r="L607">
        <f>YEAR(Table1[[#This Row],[PurchaseDate]])</f>
        <v>2023</v>
      </c>
      <c r="M607" t="str">
        <f>IF(Table1[[#This Row],[TotalPrice]]&gt;2000,"High Sales","Low Sales")</f>
        <v>Low Sales</v>
      </c>
    </row>
    <row r="608" spans="1:13" x14ac:dyDescent="0.3">
      <c r="A608" t="s">
        <v>595</v>
      </c>
      <c r="B608" t="s">
        <v>1657</v>
      </c>
      <c r="C608" s="1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  <c r="K608" t="str">
        <f>TEXT(Table1[[#This Row],[PurchaseDate]],"mmm")</f>
        <v>Jan</v>
      </c>
      <c r="L608">
        <f>YEAR(Table1[[#This Row],[PurchaseDate]])</f>
        <v>2024</v>
      </c>
      <c r="M608" t="str">
        <f>IF(Table1[[#This Row],[TotalPrice]]&gt;2000,"High Sales","Low Sales")</f>
        <v>High Sales</v>
      </c>
    </row>
    <row r="609" spans="1:13" x14ac:dyDescent="0.3">
      <c r="A609" t="s">
        <v>596</v>
      </c>
      <c r="B609" t="s">
        <v>1654</v>
      </c>
      <c r="C609" s="1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  <c r="K609" t="str">
        <f>TEXT(Table1[[#This Row],[PurchaseDate]],"mmm")</f>
        <v>Oct</v>
      </c>
      <c r="L609">
        <f>YEAR(Table1[[#This Row],[PurchaseDate]])</f>
        <v>2023</v>
      </c>
      <c r="M609" t="str">
        <f>IF(Table1[[#This Row],[TotalPrice]]&gt;2000,"High Sales","Low Sales")</f>
        <v>High Sales</v>
      </c>
    </row>
    <row r="610" spans="1:13" x14ac:dyDescent="0.3">
      <c r="A610" t="s">
        <v>597</v>
      </c>
      <c r="B610" t="s">
        <v>1654</v>
      </c>
      <c r="C610" s="1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  <c r="K610" t="str">
        <f>TEXT(Table1[[#This Row],[PurchaseDate]],"mmm")</f>
        <v>May</v>
      </c>
      <c r="L610">
        <f>YEAR(Table1[[#This Row],[PurchaseDate]])</f>
        <v>2023</v>
      </c>
      <c r="M610" t="str">
        <f>IF(Table1[[#This Row],[TotalPrice]]&gt;2000,"High Sales","Low Sales")</f>
        <v>High Sales</v>
      </c>
    </row>
    <row r="611" spans="1:13" x14ac:dyDescent="0.3">
      <c r="A611" t="s">
        <v>598</v>
      </c>
      <c r="B611" t="s">
        <v>1652</v>
      </c>
      <c r="C611" s="1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  <c r="K611" t="str">
        <f>TEXT(Table1[[#This Row],[PurchaseDate]],"mmm")</f>
        <v>Apr</v>
      </c>
      <c r="L611">
        <f>YEAR(Table1[[#This Row],[PurchaseDate]])</f>
        <v>2024</v>
      </c>
      <c r="M611" t="str">
        <f>IF(Table1[[#This Row],[TotalPrice]]&gt;2000,"High Sales","Low Sales")</f>
        <v>Low Sales</v>
      </c>
    </row>
    <row r="612" spans="1:13" x14ac:dyDescent="0.3">
      <c r="A612" t="s">
        <v>599</v>
      </c>
      <c r="B612" t="s">
        <v>1658</v>
      </c>
      <c r="C612" s="1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  <c r="K612" t="str">
        <f>TEXT(Table1[[#This Row],[PurchaseDate]],"mmm")</f>
        <v>Aug</v>
      </c>
      <c r="L612">
        <f>YEAR(Table1[[#This Row],[PurchaseDate]])</f>
        <v>2024</v>
      </c>
      <c r="M612" t="str">
        <f>IF(Table1[[#This Row],[TotalPrice]]&gt;2000,"High Sales","Low Sales")</f>
        <v>High Sales</v>
      </c>
    </row>
    <row r="613" spans="1:13" x14ac:dyDescent="0.3">
      <c r="A613" t="s">
        <v>600</v>
      </c>
      <c r="B613" t="s">
        <v>1658</v>
      </c>
      <c r="C613" s="1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  <c r="K613" t="str">
        <f>TEXT(Table1[[#This Row],[PurchaseDate]],"mmm")</f>
        <v>Aug</v>
      </c>
      <c r="L613">
        <f>YEAR(Table1[[#This Row],[PurchaseDate]])</f>
        <v>2023</v>
      </c>
      <c r="M613" t="str">
        <f>IF(Table1[[#This Row],[TotalPrice]]&gt;2000,"High Sales","Low Sales")</f>
        <v>High Sales</v>
      </c>
    </row>
    <row r="614" spans="1:13" x14ac:dyDescent="0.3">
      <c r="A614" t="s">
        <v>601</v>
      </c>
      <c r="B614" t="s">
        <v>1654</v>
      </c>
      <c r="C614" s="1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  <c r="K614" t="str">
        <f>TEXT(Table1[[#This Row],[PurchaseDate]],"mmm")</f>
        <v>Dec</v>
      </c>
      <c r="L614">
        <f>YEAR(Table1[[#This Row],[PurchaseDate]])</f>
        <v>2023</v>
      </c>
      <c r="M614" t="str">
        <f>IF(Table1[[#This Row],[TotalPrice]]&gt;2000,"High Sales","Low Sales")</f>
        <v>Low Sales</v>
      </c>
    </row>
    <row r="615" spans="1:13" x14ac:dyDescent="0.3">
      <c r="A615" t="s">
        <v>602</v>
      </c>
      <c r="B615" t="s">
        <v>1652</v>
      </c>
      <c r="C615" s="1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  <c r="K615" t="str">
        <f>TEXT(Table1[[#This Row],[PurchaseDate]],"mmm")</f>
        <v>Feb</v>
      </c>
      <c r="L615">
        <f>YEAR(Table1[[#This Row],[PurchaseDate]])</f>
        <v>2023</v>
      </c>
      <c r="M615" t="str">
        <f>IF(Table1[[#This Row],[TotalPrice]]&gt;2000,"High Sales","Low Sales")</f>
        <v>High Sales</v>
      </c>
    </row>
    <row r="616" spans="1:13" x14ac:dyDescent="0.3">
      <c r="A616" t="s">
        <v>603</v>
      </c>
      <c r="B616" t="s">
        <v>1658</v>
      </c>
      <c r="C616" s="1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  <c r="K616" t="str">
        <f>TEXT(Table1[[#This Row],[PurchaseDate]],"mmm")</f>
        <v>May</v>
      </c>
      <c r="L616">
        <f>YEAR(Table1[[#This Row],[PurchaseDate]])</f>
        <v>2023</v>
      </c>
      <c r="M616" t="str">
        <f>IF(Table1[[#This Row],[TotalPrice]]&gt;2000,"High Sales","Low Sales")</f>
        <v>High Sales</v>
      </c>
    </row>
    <row r="617" spans="1:13" x14ac:dyDescent="0.3">
      <c r="A617" t="s">
        <v>604</v>
      </c>
      <c r="B617" t="s">
        <v>1653</v>
      </c>
      <c r="C617" s="1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  <c r="K617" t="str">
        <f>TEXT(Table1[[#This Row],[PurchaseDate]],"mmm")</f>
        <v>May</v>
      </c>
      <c r="L617">
        <f>YEAR(Table1[[#This Row],[PurchaseDate]])</f>
        <v>2025</v>
      </c>
      <c r="M617" t="str">
        <f>IF(Table1[[#This Row],[TotalPrice]]&gt;2000,"High Sales","Low Sales")</f>
        <v>High Sales</v>
      </c>
    </row>
    <row r="618" spans="1:13" x14ac:dyDescent="0.3">
      <c r="A618" t="s">
        <v>30</v>
      </c>
      <c r="B618" t="s">
        <v>1653</v>
      </c>
      <c r="C618" s="1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  <c r="K618" t="str">
        <f>TEXT(Table1[[#This Row],[PurchaseDate]],"mmm")</f>
        <v>Feb</v>
      </c>
      <c r="L618">
        <f>YEAR(Table1[[#This Row],[PurchaseDate]])</f>
        <v>2023</v>
      </c>
      <c r="M618" t="str">
        <f>IF(Table1[[#This Row],[TotalPrice]]&gt;2000,"High Sales","Low Sales")</f>
        <v>Low Sales</v>
      </c>
    </row>
    <row r="619" spans="1:13" x14ac:dyDescent="0.3">
      <c r="A619" t="s">
        <v>605</v>
      </c>
      <c r="B619" t="s">
        <v>1652</v>
      </c>
      <c r="C619" s="1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  <c r="K619" t="str">
        <f>TEXT(Table1[[#This Row],[PurchaseDate]],"mmm")</f>
        <v>Feb</v>
      </c>
      <c r="L619">
        <f>YEAR(Table1[[#This Row],[PurchaseDate]])</f>
        <v>2025</v>
      </c>
      <c r="M619" t="str">
        <f>IF(Table1[[#This Row],[TotalPrice]]&gt;2000,"High Sales","Low Sales")</f>
        <v>Low Sales</v>
      </c>
    </row>
    <row r="620" spans="1:13" x14ac:dyDescent="0.3">
      <c r="A620" t="s">
        <v>606</v>
      </c>
      <c r="B620" t="s">
        <v>1652</v>
      </c>
      <c r="C620" s="1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  <c r="K620" t="str">
        <f>TEXT(Table1[[#This Row],[PurchaseDate]],"mmm")</f>
        <v>May</v>
      </c>
      <c r="L620">
        <f>YEAR(Table1[[#This Row],[PurchaseDate]])</f>
        <v>2024</v>
      </c>
      <c r="M620" t="str">
        <f>IF(Table1[[#This Row],[TotalPrice]]&gt;2000,"High Sales","Low Sales")</f>
        <v>Low Sales</v>
      </c>
    </row>
    <row r="621" spans="1:13" x14ac:dyDescent="0.3">
      <c r="A621" t="s">
        <v>607</v>
      </c>
      <c r="B621" t="s">
        <v>1653</v>
      </c>
      <c r="C621" s="1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  <c r="K621" t="str">
        <f>TEXT(Table1[[#This Row],[PurchaseDate]],"mmm")</f>
        <v>May</v>
      </c>
      <c r="L621">
        <f>YEAR(Table1[[#This Row],[PurchaseDate]])</f>
        <v>2025</v>
      </c>
      <c r="M621" t="str">
        <f>IF(Table1[[#This Row],[TotalPrice]]&gt;2000,"High Sales","Low Sales")</f>
        <v>High Sales</v>
      </c>
    </row>
    <row r="622" spans="1:13" x14ac:dyDescent="0.3">
      <c r="A622" t="s">
        <v>608</v>
      </c>
      <c r="B622" t="s">
        <v>1654</v>
      </c>
      <c r="C622" s="1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  <c r="K622" t="str">
        <f>TEXT(Table1[[#This Row],[PurchaseDate]],"mmm")</f>
        <v>Jul</v>
      </c>
      <c r="L622">
        <f>YEAR(Table1[[#This Row],[PurchaseDate]])</f>
        <v>2024</v>
      </c>
      <c r="M622" t="str">
        <f>IF(Table1[[#This Row],[TotalPrice]]&gt;2000,"High Sales","Low Sales")</f>
        <v>Low Sales</v>
      </c>
    </row>
    <row r="623" spans="1:13" x14ac:dyDescent="0.3">
      <c r="A623" t="s">
        <v>609</v>
      </c>
      <c r="B623" t="s">
        <v>1652</v>
      </c>
      <c r="C623" s="1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  <c r="K623" t="str">
        <f>TEXT(Table1[[#This Row],[PurchaseDate]],"mmm")</f>
        <v>Apr</v>
      </c>
      <c r="L623">
        <f>YEAR(Table1[[#This Row],[PurchaseDate]])</f>
        <v>2025</v>
      </c>
      <c r="M623" t="str">
        <f>IF(Table1[[#This Row],[TotalPrice]]&gt;2000,"High Sales","Low Sales")</f>
        <v>Low Sales</v>
      </c>
    </row>
    <row r="624" spans="1:13" x14ac:dyDescent="0.3">
      <c r="A624" t="s">
        <v>610</v>
      </c>
      <c r="B624" t="s">
        <v>1653</v>
      </c>
      <c r="C624" s="1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  <c r="K624" t="str">
        <f>TEXT(Table1[[#This Row],[PurchaseDate]],"mmm")</f>
        <v>Jul</v>
      </c>
      <c r="L624">
        <f>YEAR(Table1[[#This Row],[PurchaseDate]])</f>
        <v>2024</v>
      </c>
      <c r="M624" t="str">
        <f>IF(Table1[[#This Row],[TotalPrice]]&gt;2000,"High Sales","Low Sales")</f>
        <v>High Sales</v>
      </c>
    </row>
    <row r="625" spans="1:13" x14ac:dyDescent="0.3">
      <c r="A625" t="s">
        <v>611</v>
      </c>
      <c r="B625" t="s">
        <v>1657</v>
      </c>
      <c r="C625" s="1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  <c r="K625" t="str">
        <f>TEXT(Table1[[#This Row],[PurchaseDate]],"mmm")</f>
        <v>Oct</v>
      </c>
      <c r="L625">
        <f>YEAR(Table1[[#This Row],[PurchaseDate]])</f>
        <v>2023</v>
      </c>
      <c r="M625" t="str">
        <f>IF(Table1[[#This Row],[TotalPrice]]&gt;2000,"High Sales","Low Sales")</f>
        <v>High Sales</v>
      </c>
    </row>
    <row r="626" spans="1:13" x14ac:dyDescent="0.3">
      <c r="A626" t="s">
        <v>500</v>
      </c>
      <c r="B626" t="s">
        <v>1655</v>
      </c>
      <c r="C626" s="1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  <c r="K626" t="str">
        <f>TEXT(Table1[[#This Row],[PurchaseDate]],"mmm")</f>
        <v>Jul</v>
      </c>
      <c r="L626">
        <f>YEAR(Table1[[#This Row],[PurchaseDate]])</f>
        <v>2023</v>
      </c>
      <c r="M626" t="str">
        <f>IF(Table1[[#This Row],[TotalPrice]]&gt;2000,"High Sales","Low Sales")</f>
        <v>High Sales</v>
      </c>
    </row>
    <row r="627" spans="1:13" x14ac:dyDescent="0.3">
      <c r="A627" t="s">
        <v>612</v>
      </c>
      <c r="B627" t="s">
        <v>1655</v>
      </c>
      <c r="C627" s="1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  <c r="K627" t="str">
        <f>TEXT(Table1[[#This Row],[PurchaseDate]],"mmm")</f>
        <v>Nov</v>
      </c>
      <c r="L627">
        <f>YEAR(Table1[[#This Row],[PurchaseDate]])</f>
        <v>2024</v>
      </c>
      <c r="M627" t="str">
        <f>IF(Table1[[#This Row],[TotalPrice]]&gt;2000,"High Sales","Low Sales")</f>
        <v>High Sales</v>
      </c>
    </row>
    <row r="628" spans="1:13" x14ac:dyDescent="0.3">
      <c r="A628" t="s">
        <v>613</v>
      </c>
      <c r="B628" t="s">
        <v>1656</v>
      </c>
      <c r="C628" s="1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  <c r="K628" t="str">
        <f>TEXT(Table1[[#This Row],[PurchaseDate]],"mmm")</f>
        <v>Mar</v>
      </c>
      <c r="L628">
        <f>YEAR(Table1[[#This Row],[PurchaseDate]])</f>
        <v>2023</v>
      </c>
      <c r="M628" t="str">
        <f>IF(Table1[[#This Row],[TotalPrice]]&gt;2000,"High Sales","Low Sales")</f>
        <v>Low Sales</v>
      </c>
    </row>
    <row r="629" spans="1:13" x14ac:dyDescent="0.3">
      <c r="A629" t="s">
        <v>614</v>
      </c>
      <c r="B629" t="s">
        <v>1657</v>
      </c>
      <c r="C629" s="1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  <c r="K629" t="str">
        <f>TEXT(Table1[[#This Row],[PurchaseDate]],"mmm")</f>
        <v>Mar</v>
      </c>
      <c r="L629">
        <f>YEAR(Table1[[#This Row],[PurchaseDate]])</f>
        <v>2024</v>
      </c>
      <c r="M629" t="str">
        <f>IF(Table1[[#This Row],[TotalPrice]]&gt;2000,"High Sales","Low Sales")</f>
        <v>Low Sales</v>
      </c>
    </row>
    <row r="630" spans="1:13" x14ac:dyDescent="0.3">
      <c r="A630" t="s">
        <v>615</v>
      </c>
      <c r="B630" t="s">
        <v>1655</v>
      </c>
      <c r="C630" s="1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  <c r="K630" t="str">
        <f>TEXT(Table1[[#This Row],[PurchaseDate]],"mmm")</f>
        <v>Sep</v>
      </c>
      <c r="L630">
        <f>YEAR(Table1[[#This Row],[PurchaseDate]])</f>
        <v>2023</v>
      </c>
      <c r="M630" t="str">
        <f>IF(Table1[[#This Row],[TotalPrice]]&gt;2000,"High Sales","Low Sales")</f>
        <v>High Sales</v>
      </c>
    </row>
    <row r="631" spans="1:13" x14ac:dyDescent="0.3">
      <c r="A631" t="s">
        <v>616</v>
      </c>
      <c r="B631" t="s">
        <v>1653</v>
      </c>
      <c r="C631" s="1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  <c r="K631" t="str">
        <f>TEXT(Table1[[#This Row],[PurchaseDate]],"mmm")</f>
        <v>Nov</v>
      </c>
      <c r="L631">
        <f>YEAR(Table1[[#This Row],[PurchaseDate]])</f>
        <v>2023</v>
      </c>
      <c r="M631" t="str">
        <f>IF(Table1[[#This Row],[TotalPrice]]&gt;2000,"High Sales","Low Sales")</f>
        <v>Low Sales</v>
      </c>
    </row>
    <row r="632" spans="1:13" x14ac:dyDescent="0.3">
      <c r="A632" t="s">
        <v>617</v>
      </c>
      <c r="B632" t="s">
        <v>1654</v>
      </c>
      <c r="C632" s="1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  <c r="K632" t="str">
        <f>TEXT(Table1[[#This Row],[PurchaseDate]],"mmm")</f>
        <v>Jan</v>
      </c>
      <c r="L632">
        <f>YEAR(Table1[[#This Row],[PurchaseDate]])</f>
        <v>2023</v>
      </c>
      <c r="M632" t="str">
        <f>IF(Table1[[#This Row],[TotalPrice]]&gt;2000,"High Sales","Low Sales")</f>
        <v>Low Sales</v>
      </c>
    </row>
    <row r="633" spans="1:13" x14ac:dyDescent="0.3">
      <c r="A633" t="s">
        <v>618</v>
      </c>
      <c r="B633" t="s">
        <v>1653</v>
      </c>
      <c r="C633" s="1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  <c r="K633" t="str">
        <f>TEXT(Table1[[#This Row],[PurchaseDate]],"mmm")</f>
        <v>Aug</v>
      </c>
      <c r="L633">
        <f>YEAR(Table1[[#This Row],[PurchaseDate]])</f>
        <v>2024</v>
      </c>
      <c r="M633" t="str">
        <f>IF(Table1[[#This Row],[TotalPrice]]&gt;2000,"High Sales","Low Sales")</f>
        <v>Low Sales</v>
      </c>
    </row>
    <row r="634" spans="1:13" x14ac:dyDescent="0.3">
      <c r="A634" t="s">
        <v>619</v>
      </c>
      <c r="B634" t="s">
        <v>1658</v>
      </c>
      <c r="C634" s="1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  <c r="K634" t="str">
        <f>TEXT(Table1[[#This Row],[PurchaseDate]],"mmm")</f>
        <v>Jul</v>
      </c>
      <c r="L634">
        <f>YEAR(Table1[[#This Row],[PurchaseDate]])</f>
        <v>2023</v>
      </c>
      <c r="M634" t="str">
        <f>IF(Table1[[#This Row],[TotalPrice]]&gt;2000,"High Sales","Low Sales")</f>
        <v>Low Sales</v>
      </c>
    </row>
    <row r="635" spans="1:13" x14ac:dyDescent="0.3">
      <c r="A635" t="s">
        <v>620</v>
      </c>
      <c r="B635" t="s">
        <v>1656</v>
      </c>
      <c r="C635" s="1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  <c r="K635" t="str">
        <f>TEXT(Table1[[#This Row],[PurchaseDate]],"mmm")</f>
        <v>Jun</v>
      </c>
      <c r="L635">
        <f>YEAR(Table1[[#This Row],[PurchaseDate]])</f>
        <v>2024</v>
      </c>
      <c r="M635" t="str">
        <f>IF(Table1[[#This Row],[TotalPrice]]&gt;2000,"High Sales","Low Sales")</f>
        <v>Low Sales</v>
      </c>
    </row>
    <row r="636" spans="1:13" x14ac:dyDescent="0.3">
      <c r="A636" t="s">
        <v>621</v>
      </c>
      <c r="B636" t="s">
        <v>1655</v>
      </c>
      <c r="C636" s="1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  <c r="K636" t="str">
        <f>TEXT(Table1[[#This Row],[PurchaseDate]],"mmm")</f>
        <v>Dec</v>
      </c>
      <c r="L636">
        <f>YEAR(Table1[[#This Row],[PurchaseDate]])</f>
        <v>2023</v>
      </c>
      <c r="M636" t="str">
        <f>IF(Table1[[#This Row],[TotalPrice]]&gt;2000,"High Sales","Low Sales")</f>
        <v>Low Sales</v>
      </c>
    </row>
    <row r="637" spans="1:13" x14ac:dyDescent="0.3">
      <c r="A637" t="s">
        <v>622</v>
      </c>
      <c r="B637" t="s">
        <v>1654</v>
      </c>
      <c r="C637" s="1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  <c r="K637" t="str">
        <f>TEXT(Table1[[#This Row],[PurchaseDate]],"mmm")</f>
        <v>Oct</v>
      </c>
      <c r="L637">
        <f>YEAR(Table1[[#This Row],[PurchaseDate]])</f>
        <v>2024</v>
      </c>
      <c r="M637" t="str">
        <f>IF(Table1[[#This Row],[TotalPrice]]&gt;2000,"High Sales","Low Sales")</f>
        <v>Low Sales</v>
      </c>
    </row>
    <row r="638" spans="1:13" x14ac:dyDescent="0.3">
      <c r="A638" t="s">
        <v>623</v>
      </c>
      <c r="B638" t="s">
        <v>1654</v>
      </c>
      <c r="C638" s="1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  <c r="K638" t="str">
        <f>TEXT(Table1[[#This Row],[PurchaseDate]],"mmm")</f>
        <v>Feb</v>
      </c>
      <c r="L638">
        <f>YEAR(Table1[[#This Row],[PurchaseDate]])</f>
        <v>2025</v>
      </c>
      <c r="M638" t="str">
        <f>IF(Table1[[#This Row],[TotalPrice]]&gt;2000,"High Sales","Low Sales")</f>
        <v>Low Sales</v>
      </c>
    </row>
    <row r="639" spans="1:13" x14ac:dyDescent="0.3">
      <c r="A639" t="s">
        <v>306</v>
      </c>
      <c r="B639" t="s">
        <v>1656</v>
      </c>
      <c r="C639" s="1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  <c r="K639" t="str">
        <f>TEXT(Table1[[#This Row],[PurchaseDate]],"mmm")</f>
        <v>Dec</v>
      </c>
      <c r="L639">
        <f>YEAR(Table1[[#This Row],[PurchaseDate]])</f>
        <v>2023</v>
      </c>
      <c r="M639" t="str">
        <f>IF(Table1[[#This Row],[TotalPrice]]&gt;2000,"High Sales","Low Sales")</f>
        <v>High Sales</v>
      </c>
    </row>
    <row r="640" spans="1:13" x14ac:dyDescent="0.3">
      <c r="A640" t="s">
        <v>624</v>
      </c>
      <c r="B640" t="s">
        <v>1657</v>
      </c>
      <c r="C640" s="1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  <c r="K640" t="str">
        <f>TEXT(Table1[[#This Row],[PurchaseDate]],"mmm")</f>
        <v>Jan</v>
      </c>
      <c r="L640">
        <f>YEAR(Table1[[#This Row],[PurchaseDate]])</f>
        <v>2024</v>
      </c>
      <c r="M640" t="str">
        <f>IF(Table1[[#This Row],[TotalPrice]]&gt;2000,"High Sales","Low Sales")</f>
        <v>Low Sales</v>
      </c>
    </row>
    <row r="641" spans="1:13" x14ac:dyDescent="0.3">
      <c r="A641" t="s">
        <v>625</v>
      </c>
      <c r="B641" t="s">
        <v>1655</v>
      </c>
      <c r="C641" s="1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  <c r="K641" t="str">
        <f>TEXT(Table1[[#This Row],[PurchaseDate]],"mmm")</f>
        <v>Dec</v>
      </c>
      <c r="L641">
        <f>YEAR(Table1[[#This Row],[PurchaseDate]])</f>
        <v>2023</v>
      </c>
      <c r="M641" t="str">
        <f>IF(Table1[[#This Row],[TotalPrice]]&gt;2000,"High Sales","Low Sales")</f>
        <v>Low Sales</v>
      </c>
    </row>
    <row r="642" spans="1:13" x14ac:dyDescent="0.3">
      <c r="A642" t="s">
        <v>626</v>
      </c>
      <c r="B642" t="s">
        <v>1654</v>
      </c>
      <c r="C642" s="1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  <c r="K642" t="str">
        <f>TEXT(Table1[[#This Row],[PurchaseDate]],"mmm")</f>
        <v>Nov</v>
      </c>
      <c r="L642">
        <f>YEAR(Table1[[#This Row],[PurchaseDate]])</f>
        <v>2024</v>
      </c>
      <c r="M642" t="str">
        <f>IF(Table1[[#This Row],[TotalPrice]]&gt;2000,"High Sales","Low Sales")</f>
        <v>High Sales</v>
      </c>
    </row>
    <row r="643" spans="1:13" x14ac:dyDescent="0.3">
      <c r="A643" t="s">
        <v>169</v>
      </c>
      <c r="B643" t="s">
        <v>1653</v>
      </c>
      <c r="C643" s="1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  <c r="K643" t="str">
        <f>TEXT(Table1[[#This Row],[PurchaseDate]],"mmm")</f>
        <v>Dec</v>
      </c>
      <c r="L643">
        <f>YEAR(Table1[[#This Row],[PurchaseDate]])</f>
        <v>2024</v>
      </c>
      <c r="M643" t="str">
        <f>IF(Table1[[#This Row],[TotalPrice]]&gt;2000,"High Sales","Low Sales")</f>
        <v>High Sales</v>
      </c>
    </row>
    <row r="644" spans="1:13" x14ac:dyDescent="0.3">
      <c r="A644" t="s">
        <v>627</v>
      </c>
      <c r="B644" t="s">
        <v>1658</v>
      </c>
      <c r="C644" s="1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  <c r="K644" t="str">
        <f>TEXT(Table1[[#This Row],[PurchaseDate]],"mmm")</f>
        <v>Jun</v>
      </c>
      <c r="L644">
        <f>YEAR(Table1[[#This Row],[PurchaseDate]])</f>
        <v>2025</v>
      </c>
      <c r="M644" t="str">
        <f>IF(Table1[[#This Row],[TotalPrice]]&gt;2000,"High Sales","Low Sales")</f>
        <v>Low Sales</v>
      </c>
    </row>
    <row r="645" spans="1:13" x14ac:dyDescent="0.3">
      <c r="A645" t="s">
        <v>628</v>
      </c>
      <c r="B645" t="s">
        <v>1656</v>
      </c>
      <c r="C645" s="1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  <c r="K645" t="str">
        <f>TEXT(Table1[[#This Row],[PurchaseDate]],"mmm")</f>
        <v>Mar</v>
      </c>
      <c r="L645">
        <f>YEAR(Table1[[#This Row],[PurchaseDate]])</f>
        <v>2024</v>
      </c>
      <c r="M645" t="str">
        <f>IF(Table1[[#This Row],[TotalPrice]]&gt;2000,"High Sales","Low Sales")</f>
        <v>Low Sales</v>
      </c>
    </row>
    <row r="646" spans="1:13" x14ac:dyDescent="0.3">
      <c r="A646" t="s">
        <v>629</v>
      </c>
      <c r="B646" t="s">
        <v>1656</v>
      </c>
      <c r="C646" s="1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  <c r="K646" t="str">
        <f>TEXT(Table1[[#This Row],[PurchaseDate]],"mmm")</f>
        <v>May</v>
      </c>
      <c r="L646">
        <f>YEAR(Table1[[#This Row],[PurchaseDate]])</f>
        <v>2024</v>
      </c>
      <c r="M646" t="str">
        <f>IF(Table1[[#This Row],[TotalPrice]]&gt;2000,"High Sales","Low Sales")</f>
        <v>Low Sales</v>
      </c>
    </row>
    <row r="647" spans="1:13" x14ac:dyDescent="0.3">
      <c r="A647" t="s">
        <v>630</v>
      </c>
      <c r="B647" t="s">
        <v>1652</v>
      </c>
      <c r="C647" s="1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  <c r="K647" t="str">
        <f>TEXT(Table1[[#This Row],[PurchaseDate]],"mmm")</f>
        <v>May</v>
      </c>
      <c r="L647">
        <f>YEAR(Table1[[#This Row],[PurchaseDate]])</f>
        <v>2025</v>
      </c>
      <c r="M647" t="str">
        <f>IF(Table1[[#This Row],[TotalPrice]]&gt;2000,"High Sales","Low Sales")</f>
        <v>Low Sales</v>
      </c>
    </row>
    <row r="648" spans="1:13" x14ac:dyDescent="0.3">
      <c r="A648" t="s">
        <v>631</v>
      </c>
      <c r="B648" t="s">
        <v>1652</v>
      </c>
      <c r="C648" s="1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  <c r="K648" t="str">
        <f>TEXT(Table1[[#This Row],[PurchaseDate]],"mmm")</f>
        <v>Nov</v>
      </c>
      <c r="L648">
        <f>YEAR(Table1[[#This Row],[PurchaseDate]])</f>
        <v>2023</v>
      </c>
      <c r="M648" t="str">
        <f>IF(Table1[[#This Row],[TotalPrice]]&gt;2000,"High Sales","Low Sales")</f>
        <v>Low Sales</v>
      </c>
    </row>
    <row r="649" spans="1:13" x14ac:dyDescent="0.3">
      <c r="A649" t="s">
        <v>632</v>
      </c>
      <c r="B649" t="s">
        <v>1653</v>
      </c>
      <c r="C649" s="1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  <c r="K649" t="str">
        <f>TEXT(Table1[[#This Row],[PurchaseDate]],"mmm")</f>
        <v>May</v>
      </c>
      <c r="L649">
        <f>YEAR(Table1[[#This Row],[PurchaseDate]])</f>
        <v>2025</v>
      </c>
      <c r="M649" t="str">
        <f>IF(Table1[[#This Row],[TotalPrice]]&gt;2000,"High Sales","Low Sales")</f>
        <v>Low Sales</v>
      </c>
    </row>
    <row r="650" spans="1:13" x14ac:dyDescent="0.3">
      <c r="A650" t="s">
        <v>523</v>
      </c>
      <c r="B650" t="s">
        <v>1652</v>
      </c>
      <c r="C650" s="1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  <c r="K650" t="str">
        <f>TEXT(Table1[[#This Row],[PurchaseDate]],"mmm")</f>
        <v>Aug</v>
      </c>
      <c r="L650">
        <f>YEAR(Table1[[#This Row],[PurchaseDate]])</f>
        <v>2024</v>
      </c>
      <c r="M650" t="str">
        <f>IF(Table1[[#This Row],[TotalPrice]]&gt;2000,"High Sales","Low Sales")</f>
        <v>Low Sales</v>
      </c>
    </row>
    <row r="651" spans="1:13" x14ac:dyDescent="0.3">
      <c r="A651" t="s">
        <v>633</v>
      </c>
      <c r="B651" t="s">
        <v>1653</v>
      </c>
      <c r="C651" s="1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  <c r="K651" t="str">
        <f>TEXT(Table1[[#This Row],[PurchaseDate]],"mmm")</f>
        <v>Dec</v>
      </c>
      <c r="L651">
        <f>YEAR(Table1[[#This Row],[PurchaseDate]])</f>
        <v>2024</v>
      </c>
      <c r="M651" t="str">
        <f>IF(Table1[[#This Row],[TotalPrice]]&gt;2000,"High Sales","Low Sales")</f>
        <v>Low Sales</v>
      </c>
    </row>
    <row r="652" spans="1:13" x14ac:dyDescent="0.3">
      <c r="A652" t="s">
        <v>634</v>
      </c>
      <c r="B652" t="s">
        <v>1656</v>
      </c>
      <c r="C652" s="1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  <c r="K652" t="str">
        <f>TEXT(Table1[[#This Row],[PurchaseDate]],"mmm")</f>
        <v>Jan</v>
      </c>
      <c r="L652">
        <f>YEAR(Table1[[#This Row],[PurchaseDate]])</f>
        <v>2023</v>
      </c>
      <c r="M652" t="str">
        <f>IF(Table1[[#This Row],[TotalPrice]]&gt;2000,"High Sales","Low Sales")</f>
        <v>High Sales</v>
      </c>
    </row>
    <row r="653" spans="1:13" x14ac:dyDescent="0.3">
      <c r="A653" t="s">
        <v>635</v>
      </c>
      <c r="B653" t="s">
        <v>1657</v>
      </c>
      <c r="C653" s="1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  <c r="K653" t="str">
        <f>TEXT(Table1[[#This Row],[PurchaseDate]],"mmm")</f>
        <v>Oct</v>
      </c>
      <c r="L653">
        <f>YEAR(Table1[[#This Row],[PurchaseDate]])</f>
        <v>2024</v>
      </c>
      <c r="M653" t="str">
        <f>IF(Table1[[#This Row],[TotalPrice]]&gt;2000,"High Sales","Low Sales")</f>
        <v>Low Sales</v>
      </c>
    </row>
    <row r="654" spans="1:13" x14ac:dyDescent="0.3">
      <c r="A654" t="s">
        <v>636</v>
      </c>
      <c r="B654" t="s">
        <v>1653</v>
      </c>
      <c r="C654" s="1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  <c r="K654" t="str">
        <f>TEXT(Table1[[#This Row],[PurchaseDate]],"mmm")</f>
        <v>Dec</v>
      </c>
      <c r="L654">
        <f>YEAR(Table1[[#This Row],[PurchaseDate]])</f>
        <v>2024</v>
      </c>
      <c r="M654" t="str">
        <f>IF(Table1[[#This Row],[TotalPrice]]&gt;2000,"High Sales","Low Sales")</f>
        <v>High Sales</v>
      </c>
    </row>
    <row r="655" spans="1:13" x14ac:dyDescent="0.3">
      <c r="A655" t="s">
        <v>637</v>
      </c>
      <c r="B655" t="s">
        <v>1654</v>
      </c>
      <c r="C655" s="1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  <c r="K655" t="str">
        <f>TEXT(Table1[[#This Row],[PurchaseDate]],"mmm")</f>
        <v>Nov</v>
      </c>
      <c r="L655">
        <f>YEAR(Table1[[#This Row],[PurchaseDate]])</f>
        <v>2023</v>
      </c>
      <c r="M655" t="str">
        <f>IF(Table1[[#This Row],[TotalPrice]]&gt;2000,"High Sales","Low Sales")</f>
        <v>Low Sales</v>
      </c>
    </row>
    <row r="656" spans="1:13" x14ac:dyDescent="0.3">
      <c r="A656" t="s">
        <v>638</v>
      </c>
      <c r="B656" t="s">
        <v>1658</v>
      </c>
      <c r="C656" s="1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  <c r="K656" t="str">
        <f>TEXT(Table1[[#This Row],[PurchaseDate]],"mmm")</f>
        <v>Mar</v>
      </c>
      <c r="L656">
        <f>YEAR(Table1[[#This Row],[PurchaseDate]])</f>
        <v>2024</v>
      </c>
      <c r="M656" t="str">
        <f>IF(Table1[[#This Row],[TotalPrice]]&gt;2000,"High Sales","Low Sales")</f>
        <v>Low Sales</v>
      </c>
    </row>
    <row r="657" spans="1:13" x14ac:dyDescent="0.3">
      <c r="A657" t="s">
        <v>639</v>
      </c>
      <c r="B657" t="s">
        <v>1658</v>
      </c>
      <c r="C657" s="1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  <c r="K657" t="str">
        <f>TEXT(Table1[[#This Row],[PurchaseDate]],"mmm")</f>
        <v>Nov</v>
      </c>
      <c r="L657">
        <f>YEAR(Table1[[#This Row],[PurchaseDate]])</f>
        <v>2023</v>
      </c>
      <c r="M657" t="str">
        <f>IF(Table1[[#This Row],[TotalPrice]]&gt;2000,"High Sales","Low Sales")</f>
        <v>High Sales</v>
      </c>
    </row>
    <row r="658" spans="1:13" x14ac:dyDescent="0.3">
      <c r="A658" t="s">
        <v>640</v>
      </c>
      <c r="B658" t="s">
        <v>1655</v>
      </c>
      <c r="C658" s="1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  <c r="K658" t="str">
        <f>TEXT(Table1[[#This Row],[PurchaseDate]],"mmm")</f>
        <v>Feb</v>
      </c>
      <c r="L658">
        <f>YEAR(Table1[[#This Row],[PurchaseDate]])</f>
        <v>2025</v>
      </c>
      <c r="M658" t="str">
        <f>IF(Table1[[#This Row],[TotalPrice]]&gt;2000,"High Sales","Low Sales")</f>
        <v>Low Sales</v>
      </c>
    </row>
    <row r="659" spans="1:13" x14ac:dyDescent="0.3">
      <c r="A659" t="s">
        <v>641</v>
      </c>
      <c r="B659" t="s">
        <v>1654</v>
      </c>
      <c r="C659" s="1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  <c r="K659" t="str">
        <f>TEXT(Table1[[#This Row],[PurchaseDate]],"mmm")</f>
        <v>Feb</v>
      </c>
      <c r="L659">
        <f>YEAR(Table1[[#This Row],[PurchaseDate]])</f>
        <v>2023</v>
      </c>
      <c r="M659" t="str">
        <f>IF(Table1[[#This Row],[TotalPrice]]&gt;2000,"High Sales","Low Sales")</f>
        <v>Low Sales</v>
      </c>
    </row>
    <row r="660" spans="1:13" x14ac:dyDescent="0.3">
      <c r="A660" t="s">
        <v>443</v>
      </c>
      <c r="B660" t="s">
        <v>1652</v>
      </c>
      <c r="C660" s="1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  <c r="K660" t="str">
        <f>TEXT(Table1[[#This Row],[PurchaseDate]],"mmm")</f>
        <v>Apr</v>
      </c>
      <c r="L660">
        <f>YEAR(Table1[[#This Row],[PurchaseDate]])</f>
        <v>2023</v>
      </c>
      <c r="M660" t="str">
        <f>IF(Table1[[#This Row],[TotalPrice]]&gt;2000,"High Sales","Low Sales")</f>
        <v>Low Sales</v>
      </c>
    </row>
    <row r="661" spans="1:13" x14ac:dyDescent="0.3">
      <c r="A661" t="s">
        <v>642</v>
      </c>
      <c r="B661" t="s">
        <v>1656</v>
      </c>
      <c r="C661" s="1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  <c r="K661" t="str">
        <f>TEXT(Table1[[#This Row],[PurchaseDate]],"mmm")</f>
        <v>Feb</v>
      </c>
      <c r="L661">
        <f>YEAR(Table1[[#This Row],[PurchaseDate]])</f>
        <v>2025</v>
      </c>
      <c r="M661" t="str">
        <f>IF(Table1[[#This Row],[TotalPrice]]&gt;2000,"High Sales","Low Sales")</f>
        <v>Low Sales</v>
      </c>
    </row>
    <row r="662" spans="1:13" x14ac:dyDescent="0.3">
      <c r="A662" t="s">
        <v>643</v>
      </c>
      <c r="B662" t="s">
        <v>1653</v>
      </c>
      <c r="C662" s="1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  <c r="K662" t="str">
        <f>TEXT(Table1[[#This Row],[PurchaseDate]],"mmm")</f>
        <v>Nov</v>
      </c>
      <c r="L662">
        <f>YEAR(Table1[[#This Row],[PurchaseDate]])</f>
        <v>2023</v>
      </c>
      <c r="M662" t="str">
        <f>IF(Table1[[#This Row],[TotalPrice]]&gt;2000,"High Sales","Low Sales")</f>
        <v>Low Sales</v>
      </c>
    </row>
    <row r="663" spans="1:13" x14ac:dyDescent="0.3">
      <c r="A663" t="s">
        <v>644</v>
      </c>
      <c r="B663" t="s">
        <v>1658</v>
      </c>
      <c r="C663" s="1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  <c r="K663" t="str">
        <f>TEXT(Table1[[#This Row],[PurchaseDate]],"mmm")</f>
        <v>Jun</v>
      </c>
      <c r="L663">
        <f>YEAR(Table1[[#This Row],[PurchaseDate]])</f>
        <v>2023</v>
      </c>
      <c r="M663" t="str">
        <f>IF(Table1[[#This Row],[TotalPrice]]&gt;2000,"High Sales","Low Sales")</f>
        <v>High Sales</v>
      </c>
    </row>
    <row r="664" spans="1:13" x14ac:dyDescent="0.3">
      <c r="A664" t="s">
        <v>645</v>
      </c>
      <c r="B664" t="s">
        <v>1654</v>
      </c>
      <c r="C664" s="1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  <c r="K664" t="str">
        <f>TEXT(Table1[[#This Row],[PurchaseDate]],"mmm")</f>
        <v>Aug</v>
      </c>
      <c r="L664">
        <f>YEAR(Table1[[#This Row],[PurchaseDate]])</f>
        <v>2023</v>
      </c>
      <c r="M664" t="str">
        <f>IF(Table1[[#This Row],[TotalPrice]]&gt;2000,"High Sales","Low Sales")</f>
        <v>Low Sales</v>
      </c>
    </row>
    <row r="665" spans="1:13" x14ac:dyDescent="0.3">
      <c r="A665" t="s">
        <v>646</v>
      </c>
      <c r="B665" t="s">
        <v>1658</v>
      </c>
      <c r="C665" s="1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  <c r="K665" t="str">
        <f>TEXT(Table1[[#This Row],[PurchaseDate]],"mmm")</f>
        <v>Jan</v>
      </c>
      <c r="L665">
        <f>YEAR(Table1[[#This Row],[PurchaseDate]])</f>
        <v>2023</v>
      </c>
      <c r="M665" t="str">
        <f>IF(Table1[[#This Row],[TotalPrice]]&gt;2000,"High Sales","Low Sales")</f>
        <v>High Sales</v>
      </c>
    </row>
    <row r="666" spans="1:13" x14ac:dyDescent="0.3">
      <c r="A666" t="s">
        <v>647</v>
      </c>
      <c r="B666" t="s">
        <v>1654</v>
      </c>
      <c r="C666" s="1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  <c r="K666" t="str">
        <f>TEXT(Table1[[#This Row],[PurchaseDate]],"mmm")</f>
        <v>Jan</v>
      </c>
      <c r="L666">
        <f>YEAR(Table1[[#This Row],[PurchaseDate]])</f>
        <v>2025</v>
      </c>
      <c r="M666" t="str">
        <f>IF(Table1[[#This Row],[TotalPrice]]&gt;2000,"High Sales","Low Sales")</f>
        <v>High Sales</v>
      </c>
    </row>
    <row r="667" spans="1:13" x14ac:dyDescent="0.3">
      <c r="A667" t="s">
        <v>648</v>
      </c>
      <c r="B667" t="s">
        <v>1658</v>
      </c>
      <c r="C667" s="1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  <c r="K667" t="str">
        <f>TEXT(Table1[[#This Row],[PurchaseDate]],"mmm")</f>
        <v>Aug</v>
      </c>
      <c r="L667">
        <f>YEAR(Table1[[#This Row],[PurchaseDate]])</f>
        <v>2023</v>
      </c>
      <c r="M667" t="str">
        <f>IF(Table1[[#This Row],[TotalPrice]]&gt;2000,"High Sales","Low Sales")</f>
        <v>High Sales</v>
      </c>
    </row>
    <row r="668" spans="1:13" x14ac:dyDescent="0.3">
      <c r="A668" t="s">
        <v>649</v>
      </c>
      <c r="B668" t="s">
        <v>1653</v>
      </c>
      <c r="C668" s="1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  <c r="K668" t="str">
        <f>TEXT(Table1[[#This Row],[PurchaseDate]],"mmm")</f>
        <v>May</v>
      </c>
      <c r="L668">
        <f>YEAR(Table1[[#This Row],[PurchaseDate]])</f>
        <v>2024</v>
      </c>
      <c r="M668" t="str">
        <f>IF(Table1[[#This Row],[TotalPrice]]&gt;2000,"High Sales","Low Sales")</f>
        <v>Low Sales</v>
      </c>
    </row>
    <row r="669" spans="1:13" x14ac:dyDescent="0.3">
      <c r="A669" t="s">
        <v>650</v>
      </c>
      <c r="B669" t="s">
        <v>1652</v>
      </c>
      <c r="C669" s="1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  <c r="K669" t="str">
        <f>TEXT(Table1[[#This Row],[PurchaseDate]],"mmm")</f>
        <v>Oct</v>
      </c>
      <c r="L669">
        <f>YEAR(Table1[[#This Row],[PurchaseDate]])</f>
        <v>2024</v>
      </c>
      <c r="M669" t="str">
        <f>IF(Table1[[#This Row],[TotalPrice]]&gt;2000,"High Sales","Low Sales")</f>
        <v>Low Sales</v>
      </c>
    </row>
    <row r="670" spans="1:13" x14ac:dyDescent="0.3">
      <c r="A670" t="s">
        <v>651</v>
      </c>
      <c r="B670" t="s">
        <v>1656</v>
      </c>
      <c r="C670" s="1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  <c r="K670" t="str">
        <f>TEXT(Table1[[#This Row],[PurchaseDate]],"mmm")</f>
        <v>Feb</v>
      </c>
      <c r="L670">
        <f>YEAR(Table1[[#This Row],[PurchaseDate]])</f>
        <v>2024</v>
      </c>
      <c r="M670" t="str">
        <f>IF(Table1[[#This Row],[TotalPrice]]&gt;2000,"High Sales","Low Sales")</f>
        <v>Low Sales</v>
      </c>
    </row>
    <row r="671" spans="1:13" x14ac:dyDescent="0.3">
      <c r="A671" t="s">
        <v>652</v>
      </c>
      <c r="B671" t="s">
        <v>1657</v>
      </c>
      <c r="C671" s="1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  <c r="K671" t="str">
        <f>TEXT(Table1[[#This Row],[PurchaseDate]],"mmm")</f>
        <v>Feb</v>
      </c>
      <c r="L671">
        <f>YEAR(Table1[[#This Row],[PurchaseDate]])</f>
        <v>2023</v>
      </c>
      <c r="M671" t="str">
        <f>IF(Table1[[#This Row],[TotalPrice]]&gt;2000,"High Sales","Low Sales")</f>
        <v>Low Sales</v>
      </c>
    </row>
    <row r="672" spans="1:13" x14ac:dyDescent="0.3">
      <c r="A672" t="s">
        <v>653</v>
      </c>
      <c r="B672" t="s">
        <v>1654</v>
      </c>
      <c r="C672" s="1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  <c r="K672" t="str">
        <f>TEXT(Table1[[#This Row],[PurchaseDate]],"mmm")</f>
        <v>Jun</v>
      </c>
      <c r="L672">
        <f>YEAR(Table1[[#This Row],[PurchaseDate]])</f>
        <v>2023</v>
      </c>
      <c r="M672" t="str">
        <f>IF(Table1[[#This Row],[TotalPrice]]&gt;2000,"High Sales","Low Sales")</f>
        <v>Low Sales</v>
      </c>
    </row>
    <row r="673" spans="1:13" x14ac:dyDescent="0.3">
      <c r="A673" t="s">
        <v>654</v>
      </c>
      <c r="B673" t="s">
        <v>1658</v>
      </c>
      <c r="C673" s="1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  <c r="K673" t="str">
        <f>TEXT(Table1[[#This Row],[PurchaseDate]],"mmm")</f>
        <v>Feb</v>
      </c>
      <c r="L673">
        <f>YEAR(Table1[[#This Row],[PurchaseDate]])</f>
        <v>2024</v>
      </c>
      <c r="M673" t="str">
        <f>IF(Table1[[#This Row],[TotalPrice]]&gt;2000,"High Sales","Low Sales")</f>
        <v>High Sales</v>
      </c>
    </row>
    <row r="674" spans="1:13" x14ac:dyDescent="0.3">
      <c r="A674" t="s">
        <v>655</v>
      </c>
      <c r="B674" t="s">
        <v>1654</v>
      </c>
      <c r="C674" s="1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  <c r="K674" t="str">
        <f>TEXT(Table1[[#This Row],[PurchaseDate]],"mmm")</f>
        <v>Aug</v>
      </c>
      <c r="L674">
        <f>YEAR(Table1[[#This Row],[PurchaseDate]])</f>
        <v>2024</v>
      </c>
      <c r="M674" t="str">
        <f>IF(Table1[[#This Row],[TotalPrice]]&gt;2000,"High Sales","Low Sales")</f>
        <v>High Sales</v>
      </c>
    </row>
    <row r="675" spans="1:13" x14ac:dyDescent="0.3">
      <c r="A675" t="s">
        <v>656</v>
      </c>
      <c r="B675" t="s">
        <v>1658</v>
      </c>
      <c r="C675" s="1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  <c r="K675" t="str">
        <f>TEXT(Table1[[#This Row],[PurchaseDate]],"mmm")</f>
        <v>Apr</v>
      </c>
      <c r="L675">
        <f>YEAR(Table1[[#This Row],[PurchaseDate]])</f>
        <v>2024</v>
      </c>
      <c r="M675" t="str">
        <f>IF(Table1[[#This Row],[TotalPrice]]&gt;2000,"High Sales","Low Sales")</f>
        <v>High Sales</v>
      </c>
    </row>
    <row r="676" spans="1:13" x14ac:dyDescent="0.3">
      <c r="A676" t="s">
        <v>657</v>
      </c>
      <c r="B676" t="s">
        <v>1657</v>
      </c>
      <c r="C676" s="1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  <c r="K676" t="str">
        <f>TEXT(Table1[[#This Row],[PurchaseDate]],"mmm")</f>
        <v>Mar</v>
      </c>
      <c r="L676">
        <f>YEAR(Table1[[#This Row],[PurchaseDate]])</f>
        <v>2024</v>
      </c>
      <c r="M676" t="str">
        <f>IF(Table1[[#This Row],[TotalPrice]]&gt;2000,"High Sales","Low Sales")</f>
        <v>Low Sales</v>
      </c>
    </row>
    <row r="677" spans="1:13" x14ac:dyDescent="0.3">
      <c r="A677" t="s">
        <v>658</v>
      </c>
      <c r="B677" t="s">
        <v>1652</v>
      </c>
      <c r="C677" s="1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  <c r="K677" t="str">
        <f>TEXT(Table1[[#This Row],[PurchaseDate]],"mmm")</f>
        <v>Oct</v>
      </c>
      <c r="L677">
        <f>YEAR(Table1[[#This Row],[PurchaseDate]])</f>
        <v>2024</v>
      </c>
      <c r="M677" t="str">
        <f>IF(Table1[[#This Row],[TotalPrice]]&gt;2000,"High Sales","Low Sales")</f>
        <v>Low Sales</v>
      </c>
    </row>
    <row r="678" spans="1:13" x14ac:dyDescent="0.3">
      <c r="A678" t="s">
        <v>659</v>
      </c>
      <c r="B678" t="s">
        <v>1655</v>
      </c>
      <c r="C678" s="1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  <c r="K678" t="str">
        <f>TEXT(Table1[[#This Row],[PurchaseDate]],"mmm")</f>
        <v>Jun</v>
      </c>
      <c r="L678">
        <f>YEAR(Table1[[#This Row],[PurchaseDate]])</f>
        <v>2025</v>
      </c>
      <c r="M678" t="str">
        <f>IF(Table1[[#This Row],[TotalPrice]]&gt;2000,"High Sales","Low Sales")</f>
        <v>Low Sales</v>
      </c>
    </row>
    <row r="679" spans="1:13" x14ac:dyDescent="0.3">
      <c r="A679" t="s">
        <v>660</v>
      </c>
      <c r="B679" t="s">
        <v>1655</v>
      </c>
      <c r="C679" s="1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  <c r="K679" t="str">
        <f>TEXT(Table1[[#This Row],[PurchaseDate]],"mmm")</f>
        <v>May</v>
      </c>
      <c r="L679">
        <f>YEAR(Table1[[#This Row],[PurchaseDate]])</f>
        <v>2023</v>
      </c>
      <c r="M679" t="str">
        <f>IF(Table1[[#This Row],[TotalPrice]]&gt;2000,"High Sales","Low Sales")</f>
        <v>Low Sales</v>
      </c>
    </row>
    <row r="680" spans="1:13" x14ac:dyDescent="0.3">
      <c r="A680" t="s">
        <v>661</v>
      </c>
      <c r="B680" t="s">
        <v>1658</v>
      </c>
      <c r="C680" s="1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  <c r="K680" t="str">
        <f>TEXT(Table1[[#This Row],[PurchaseDate]],"mmm")</f>
        <v>Aug</v>
      </c>
      <c r="L680">
        <f>YEAR(Table1[[#This Row],[PurchaseDate]])</f>
        <v>2023</v>
      </c>
      <c r="M680" t="str">
        <f>IF(Table1[[#This Row],[TotalPrice]]&gt;2000,"High Sales","Low Sales")</f>
        <v>Low Sales</v>
      </c>
    </row>
    <row r="681" spans="1:13" x14ac:dyDescent="0.3">
      <c r="A681" t="s">
        <v>662</v>
      </c>
      <c r="B681" t="s">
        <v>1653</v>
      </c>
      <c r="C681" s="1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  <c r="K681" t="str">
        <f>TEXT(Table1[[#This Row],[PurchaseDate]],"mmm")</f>
        <v>Apr</v>
      </c>
      <c r="L681">
        <f>YEAR(Table1[[#This Row],[PurchaseDate]])</f>
        <v>2023</v>
      </c>
      <c r="M681" t="str">
        <f>IF(Table1[[#This Row],[TotalPrice]]&gt;2000,"High Sales","Low Sales")</f>
        <v>High Sales</v>
      </c>
    </row>
    <row r="682" spans="1:13" x14ac:dyDescent="0.3">
      <c r="A682" t="s">
        <v>663</v>
      </c>
      <c r="B682" t="s">
        <v>1653</v>
      </c>
      <c r="C682" s="1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  <c r="K682" t="str">
        <f>TEXT(Table1[[#This Row],[PurchaseDate]],"mmm")</f>
        <v>Jan</v>
      </c>
      <c r="L682">
        <f>YEAR(Table1[[#This Row],[PurchaseDate]])</f>
        <v>2023</v>
      </c>
      <c r="M682" t="str">
        <f>IF(Table1[[#This Row],[TotalPrice]]&gt;2000,"High Sales","Low Sales")</f>
        <v>High Sales</v>
      </c>
    </row>
    <row r="683" spans="1:13" x14ac:dyDescent="0.3">
      <c r="A683" t="s">
        <v>664</v>
      </c>
      <c r="B683" t="s">
        <v>1654</v>
      </c>
      <c r="C683" s="1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  <c r="K683" t="str">
        <f>TEXT(Table1[[#This Row],[PurchaseDate]],"mmm")</f>
        <v>Jun</v>
      </c>
      <c r="L683">
        <f>YEAR(Table1[[#This Row],[PurchaseDate]])</f>
        <v>2025</v>
      </c>
      <c r="M683" t="str">
        <f>IF(Table1[[#This Row],[TotalPrice]]&gt;2000,"High Sales","Low Sales")</f>
        <v>Low Sales</v>
      </c>
    </row>
    <row r="684" spans="1:13" x14ac:dyDescent="0.3">
      <c r="A684" t="s">
        <v>665</v>
      </c>
      <c r="B684" t="s">
        <v>1654</v>
      </c>
      <c r="C684" s="1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  <c r="K684" t="str">
        <f>TEXT(Table1[[#This Row],[PurchaseDate]],"mmm")</f>
        <v>Dec</v>
      </c>
      <c r="L684">
        <f>YEAR(Table1[[#This Row],[PurchaseDate]])</f>
        <v>2023</v>
      </c>
      <c r="M684" t="str">
        <f>IF(Table1[[#This Row],[TotalPrice]]&gt;2000,"High Sales","Low Sales")</f>
        <v>High Sales</v>
      </c>
    </row>
    <row r="685" spans="1:13" x14ac:dyDescent="0.3">
      <c r="A685" t="s">
        <v>666</v>
      </c>
      <c r="B685" t="s">
        <v>1658</v>
      </c>
      <c r="C685" s="1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  <c r="K685" t="str">
        <f>TEXT(Table1[[#This Row],[PurchaseDate]],"mmm")</f>
        <v>Jun</v>
      </c>
      <c r="L685">
        <f>YEAR(Table1[[#This Row],[PurchaseDate]])</f>
        <v>2023</v>
      </c>
      <c r="M685" t="str">
        <f>IF(Table1[[#This Row],[TotalPrice]]&gt;2000,"High Sales","Low Sales")</f>
        <v>Low Sales</v>
      </c>
    </row>
    <row r="686" spans="1:13" x14ac:dyDescent="0.3">
      <c r="A686" t="s">
        <v>667</v>
      </c>
      <c r="B686" t="s">
        <v>1652</v>
      </c>
      <c r="C686" s="1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  <c r="K686" t="str">
        <f>TEXT(Table1[[#This Row],[PurchaseDate]],"mmm")</f>
        <v>Oct</v>
      </c>
      <c r="L686">
        <f>YEAR(Table1[[#This Row],[PurchaseDate]])</f>
        <v>2023</v>
      </c>
      <c r="M686" t="str">
        <f>IF(Table1[[#This Row],[TotalPrice]]&gt;2000,"High Sales","Low Sales")</f>
        <v>High Sales</v>
      </c>
    </row>
    <row r="687" spans="1:13" x14ac:dyDescent="0.3">
      <c r="A687" t="s">
        <v>668</v>
      </c>
      <c r="B687" t="s">
        <v>1655</v>
      </c>
      <c r="C687" s="1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  <c r="K687" t="str">
        <f>TEXT(Table1[[#This Row],[PurchaseDate]],"mmm")</f>
        <v>Oct</v>
      </c>
      <c r="L687">
        <f>YEAR(Table1[[#This Row],[PurchaseDate]])</f>
        <v>2024</v>
      </c>
      <c r="M687" t="str">
        <f>IF(Table1[[#This Row],[TotalPrice]]&gt;2000,"High Sales","Low Sales")</f>
        <v>Low Sales</v>
      </c>
    </row>
    <row r="688" spans="1:13" x14ac:dyDescent="0.3">
      <c r="A688" t="s">
        <v>669</v>
      </c>
      <c r="B688" t="s">
        <v>1655</v>
      </c>
      <c r="C688" s="1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  <c r="K688" t="str">
        <f>TEXT(Table1[[#This Row],[PurchaseDate]],"mmm")</f>
        <v>Feb</v>
      </c>
      <c r="L688">
        <f>YEAR(Table1[[#This Row],[PurchaseDate]])</f>
        <v>2024</v>
      </c>
      <c r="M688" t="str">
        <f>IF(Table1[[#This Row],[TotalPrice]]&gt;2000,"High Sales","Low Sales")</f>
        <v>Low Sales</v>
      </c>
    </row>
    <row r="689" spans="1:13" x14ac:dyDescent="0.3">
      <c r="A689" t="s">
        <v>670</v>
      </c>
      <c r="B689" t="s">
        <v>1653</v>
      </c>
      <c r="C689" s="1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  <c r="K689" t="str">
        <f>TEXT(Table1[[#This Row],[PurchaseDate]],"mmm")</f>
        <v>Jun</v>
      </c>
      <c r="L689">
        <f>YEAR(Table1[[#This Row],[PurchaseDate]])</f>
        <v>2025</v>
      </c>
      <c r="M689" t="str">
        <f>IF(Table1[[#This Row],[TotalPrice]]&gt;2000,"High Sales","Low Sales")</f>
        <v>Low Sales</v>
      </c>
    </row>
    <row r="690" spans="1:13" x14ac:dyDescent="0.3">
      <c r="A690" t="s">
        <v>505</v>
      </c>
      <c r="B690" t="s">
        <v>1658</v>
      </c>
      <c r="C690" s="1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  <c r="K690" t="str">
        <f>TEXT(Table1[[#This Row],[PurchaseDate]],"mmm")</f>
        <v>May</v>
      </c>
      <c r="L690">
        <f>YEAR(Table1[[#This Row],[PurchaseDate]])</f>
        <v>2025</v>
      </c>
      <c r="M690" t="str">
        <f>IF(Table1[[#This Row],[TotalPrice]]&gt;2000,"High Sales","Low Sales")</f>
        <v>High Sales</v>
      </c>
    </row>
    <row r="691" spans="1:13" x14ac:dyDescent="0.3">
      <c r="A691" t="s">
        <v>671</v>
      </c>
      <c r="B691" t="s">
        <v>1653</v>
      </c>
      <c r="C691" s="1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  <c r="K691" t="str">
        <f>TEXT(Table1[[#This Row],[PurchaseDate]],"mmm")</f>
        <v>Dec</v>
      </c>
      <c r="L691">
        <f>YEAR(Table1[[#This Row],[PurchaseDate]])</f>
        <v>2024</v>
      </c>
      <c r="M691" t="str">
        <f>IF(Table1[[#This Row],[TotalPrice]]&gt;2000,"High Sales","Low Sales")</f>
        <v>High Sales</v>
      </c>
    </row>
    <row r="692" spans="1:13" x14ac:dyDescent="0.3">
      <c r="A692" t="s">
        <v>672</v>
      </c>
      <c r="B692" t="s">
        <v>1652</v>
      </c>
      <c r="C692" s="1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  <c r="K692" t="str">
        <f>TEXT(Table1[[#This Row],[PurchaseDate]],"mmm")</f>
        <v>Dec</v>
      </c>
      <c r="L692">
        <f>YEAR(Table1[[#This Row],[PurchaseDate]])</f>
        <v>2024</v>
      </c>
      <c r="M692" t="str">
        <f>IF(Table1[[#This Row],[TotalPrice]]&gt;2000,"High Sales","Low Sales")</f>
        <v>High Sales</v>
      </c>
    </row>
    <row r="693" spans="1:13" x14ac:dyDescent="0.3">
      <c r="A693" t="s">
        <v>673</v>
      </c>
      <c r="B693" t="s">
        <v>1653</v>
      </c>
      <c r="C693" s="1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  <c r="K693" t="str">
        <f>TEXT(Table1[[#This Row],[PurchaseDate]],"mmm")</f>
        <v>May</v>
      </c>
      <c r="L693">
        <f>YEAR(Table1[[#This Row],[PurchaseDate]])</f>
        <v>2025</v>
      </c>
      <c r="M693" t="str">
        <f>IF(Table1[[#This Row],[TotalPrice]]&gt;2000,"High Sales","Low Sales")</f>
        <v>Low Sales</v>
      </c>
    </row>
    <row r="694" spans="1:13" x14ac:dyDescent="0.3">
      <c r="A694" t="s">
        <v>674</v>
      </c>
      <c r="B694" t="s">
        <v>1652</v>
      </c>
      <c r="C694" s="1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  <c r="K694" t="str">
        <f>TEXT(Table1[[#This Row],[PurchaseDate]],"mmm")</f>
        <v>Aug</v>
      </c>
      <c r="L694">
        <f>YEAR(Table1[[#This Row],[PurchaseDate]])</f>
        <v>2023</v>
      </c>
      <c r="M694" t="str">
        <f>IF(Table1[[#This Row],[TotalPrice]]&gt;2000,"High Sales","Low Sales")</f>
        <v>High Sales</v>
      </c>
    </row>
    <row r="695" spans="1:13" x14ac:dyDescent="0.3">
      <c r="A695" t="s">
        <v>675</v>
      </c>
      <c r="B695" t="s">
        <v>1657</v>
      </c>
      <c r="C695" s="1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  <c r="K695" t="str">
        <f>TEXT(Table1[[#This Row],[PurchaseDate]],"mmm")</f>
        <v>Nov</v>
      </c>
      <c r="L695">
        <f>YEAR(Table1[[#This Row],[PurchaseDate]])</f>
        <v>2023</v>
      </c>
      <c r="M695" t="str">
        <f>IF(Table1[[#This Row],[TotalPrice]]&gt;2000,"High Sales","Low Sales")</f>
        <v>Low Sales</v>
      </c>
    </row>
    <row r="696" spans="1:13" x14ac:dyDescent="0.3">
      <c r="A696" t="s">
        <v>676</v>
      </c>
      <c r="B696" t="s">
        <v>1654</v>
      </c>
      <c r="C696" s="1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  <c r="K696" t="str">
        <f>TEXT(Table1[[#This Row],[PurchaseDate]],"mmm")</f>
        <v>Apr</v>
      </c>
      <c r="L696">
        <f>YEAR(Table1[[#This Row],[PurchaseDate]])</f>
        <v>2024</v>
      </c>
      <c r="M696" t="str">
        <f>IF(Table1[[#This Row],[TotalPrice]]&gt;2000,"High Sales","Low Sales")</f>
        <v>Low Sales</v>
      </c>
    </row>
    <row r="697" spans="1:13" x14ac:dyDescent="0.3">
      <c r="A697" t="s">
        <v>677</v>
      </c>
      <c r="B697" t="s">
        <v>1656</v>
      </c>
      <c r="C697" s="1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  <c r="K697" t="str">
        <f>TEXT(Table1[[#This Row],[PurchaseDate]],"mmm")</f>
        <v>Jul</v>
      </c>
      <c r="L697">
        <f>YEAR(Table1[[#This Row],[PurchaseDate]])</f>
        <v>2024</v>
      </c>
      <c r="M697" t="str">
        <f>IF(Table1[[#This Row],[TotalPrice]]&gt;2000,"High Sales","Low Sales")</f>
        <v>High Sales</v>
      </c>
    </row>
    <row r="698" spans="1:13" x14ac:dyDescent="0.3">
      <c r="A698" t="s">
        <v>678</v>
      </c>
      <c r="B698" t="s">
        <v>1655</v>
      </c>
      <c r="C698" s="1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  <c r="K698" t="str">
        <f>TEXT(Table1[[#This Row],[PurchaseDate]],"mmm")</f>
        <v>Sep</v>
      </c>
      <c r="L698">
        <f>YEAR(Table1[[#This Row],[PurchaseDate]])</f>
        <v>2024</v>
      </c>
      <c r="M698" t="str">
        <f>IF(Table1[[#This Row],[TotalPrice]]&gt;2000,"High Sales","Low Sales")</f>
        <v>High Sales</v>
      </c>
    </row>
    <row r="699" spans="1:13" x14ac:dyDescent="0.3">
      <c r="A699" t="s">
        <v>679</v>
      </c>
      <c r="B699" t="s">
        <v>1657</v>
      </c>
      <c r="C699" s="1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  <c r="K699" t="str">
        <f>TEXT(Table1[[#This Row],[PurchaseDate]],"mmm")</f>
        <v>May</v>
      </c>
      <c r="L699">
        <f>YEAR(Table1[[#This Row],[PurchaseDate]])</f>
        <v>2024</v>
      </c>
      <c r="M699" t="str">
        <f>IF(Table1[[#This Row],[TotalPrice]]&gt;2000,"High Sales","Low Sales")</f>
        <v>High Sales</v>
      </c>
    </row>
    <row r="700" spans="1:13" x14ac:dyDescent="0.3">
      <c r="A700" t="s">
        <v>680</v>
      </c>
      <c r="B700" t="s">
        <v>1654</v>
      </c>
      <c r="C700" s="1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  <c r="K700" t="str">
        <f>TEXT(Table1[[#This Row],[PurchaseDate]],"mmm")</f>
        <v>Oct</v>
      </c>
      <c r="L700">
        <f>YEAR(Table1[[#This Row],[PurchaseDate]])</f>
        <v>2023</v>
      </c>
      <c r="M700" t="str">
        <f>IF(Table1[[#This Row],[TotalPrice]]&gt;2000,"High Sales","Low Sales")</f>
        <v>Low Sales</v>
      </c>
    </row>
    <row r="701" spans="1:13" x14ac:dyDescent="0.3">
      <c r="A701" t="s">
        <v>681</v>
      </c>
      <c r="B701" t="s">
        <v>1658</v>
      </c>
      <c r="C701" s="1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  <c r="K701" t="str">
        <f>TEXT(Table1[[#This Row],[PurchaseDate]],"mmm")</f>
        <v>Mar</v>
      </c>
      <c r="L701">
        <f>YEAR(Table1[[#This Row],[PurchaseDate]])</f>
        <v>2024</v>
      </c>
      <c r="M701" t="str">
        <f>IF(Table1[[#This Row],[TotalPrice]]&gt;2000,"High Sales","Low Sales")</f>
        <v>High Sales</v>
      </c>
    </row>
    <row r="702" spans="1:13" x14ac:dyDescent="0.3">
      <c r="A702" t="s">
        <v>682</v>
      </c>
      <c r="B702" t="s">
        <v>1654</v>
      </c>
      <c r="C702" s="1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  <c r="K702" t="str">
        <f>TEXT(Table1[[#This Row],[PurchaseDate]],"mmm")</f>
        <v>May</v>
      </c>
      <c r="L702">
        <f>YEAR(Table1[[#This Row],[PurchaseDate]])</f>
        <v>2023</v>
      </c>
      <c r="M702" t="str">
        <f>IF(Table1[[#This Row],[TotalPrice]]&gt;2000,"High Sales","Low Sales")</f>
        <v>High Sales</v>
      </c>
    </row>
    <row r="703" spans="1:13" x14ac:dyDescent="0.3">
      <c r="A703" t="s">
        <v>683</v>
      </c>
      <c r="B703" t="s">
        <v>1657</v>
      </c>
      <c r="C703" s="1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  <c r="K703" t="str">
        <f>TEXT(Table1[[#This Row],[PurchaseDate]],"mmm")</f>
        <v>May</v>
      </c>
      <c r="L703">
        <f>YEAR(Table1[[#This Row],[PurchaseDate]])</f>
        <v>2023</v>
      </c>
      <c r="M703" t="str">
        <f>IF(Table1[[#This Row],[TotalPrice]]&gt;2000,"High Sales","Low Sales")</f>
        <v>Low Sales</v>
      </c>
    </row>
    <row r="704" spans="1:13" x14ac:dyDescent="0.3">
      <c r="A704" t="s">
        <v>320</v>
      </c>
      <c r="B704" t="s">
        <v>1655</v>
      </c>
      <c r="C704" s="1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  <c r="K704" t="str">
        <f>TEXT(Table1[[#This Row],[PurchaseDate]],"mmm")</f>
        <v>May</v>
      </c>
      <c r="L704">
        <f>YEAR(Table1[[#This Row],[PurchaseDate]])</f>
        <v>2023</v>
      </c>
      <c r="M704" t="str">
        <f>IF(Table1[[#This Row],[TotalPrice]]&gt;2000,"High Sales","Low Sales")</f>
        <v>Low Sales</v>
      </c>
    </row>
    <row r="705" spans="1:13" x14ac:dyDescent="0.3">
      <c r="A705" t="s">
        <v>684</v>
      </c>
      <c r="B705" t="s">
        <v>1656</v>
      </c>
      <c r="C705" s="1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  <c r="K705" t="str">
        <f>TEXT(Table1[[#This Row],[PurchaseDate]],"mmm")</f>
        <v>Feb</v>
      </c>
      <c r="L705">
        <f>YEAR(Table1[[#This Row],[PurchaseDate]])</f>
        <v>2025</v>
      </c>
      <c r="M705" t="str">
        <f>IF(Table1[[#This Row],[TotalPrice]]&gt;2000,"High Sales","Low Sales")</f>
        <v>Low Sales</v>
      </c>
    </row>
    <row r="706" spans="1:13" x14ac:dyDescent="0.3">
      <c r="A706" t="s">
        <v>685</v>
      </c>
      <c r="B706" t="s">
        <v>1656</v>
      </c>
      <c r="C706" s="1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  <c r="K706" t="str">
        <f>TEXT(Table1[[#This Row],[PurchaseDate]],"mmm")</f>
        <v>Jan</v>
      </c>
      <c r="L706">
        <f>YEAR(Table1[[#This Row],[PurchaseDate]])</f>
        <v>2025</v>
      </c>
      <c r="M706" t="str">
        <f>IF(Table1[[#This Row],[TotalPrice]]&gt;2000,"High Sales","Low Sales")</f>
        <v>High Sales</v>
      </c>
    </row>
    <row r="707" spans="1:13" x14ac:dyDescent="0.3">
      <c r="A707" t="s">
        <v>686</v>
      </c>
      <c r="B707" t="s">
        <v>1658</v>
      </c>
      <c r="C707" s="1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  <c r="K707" t="str">
        <f>TEXT(Table1[[#This Row],[PurchaseDate]],"mmm")</f>
        <v>Mar</v>
      </c>
      <c r="L707">
        <f>YEAR(Table1[[#This Row],[PurchaseDate]])</f>
        <v>2024</v>
      </c>
      <c r="M707" t="str">
        <f>IF(Table1[[#This Row],[TotalPrice]]&gt;2000,"High Sales","Low Sales")</f>
        <v>Low Sales</v>
      </c>
    </row>
    <row r="708" spans="1:13" x14ac:dyDescent="0.3">
      <c r="A708" t="s">
        <v>687</v>
      </c>
      <c r="B708" t="s">
        <v>1655</v>
      </c>
      <c r="C708" s="1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  <c r="K708" t="str">
        <f>TEXT(Table1[[#This Row],[PurchaseDate]],"mmm")</f>
        <v>May</v>
      </c>
      <c r="L708">
        <f>YEAR(Table1[[#This Row],[PurchaseDate]])</f>
        <v>2023</v>
      </c>
      <c r="M708" t="str">
        <f>IF(Table1[[#This Row],[TotalPrice]]&gt;2000,"High Sales","Low Sales")</f>
        <v>Low Sales</v>
      </c>
    </row>
    <row r="709" spans="1:13" x14ac:dyDescent="0.3">
      <c r="A709" t="s">
        <v>688</v>
      </c>
      <c r="B709" t="s">
        <v>1657</v>
      </c>
      <c r="C709" s="1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  <c r="K709" t="str">
        <f>TEXT(Table1[[#This Row],[PurchaseDate]],"mmm")</f>
        <v>Nov</v>
      </c>
      <c r="L709">
        <f>YEAR(Table1[[#This Row],[PurchaseDate]])</f>
        <v>2023</v>
      </c>
      <c r="M709" t="str">
        <f>IF(Table1[[#This Row],[TotalPrice]]&gt;2000,"High Sales","Low Sales")</f>
        <v>Low Sales</v>
      </c>
    </row>
    <row r="710" spans="1:13" x14ac:dyDescent="0.3">
      <c r="A710" t="s">
        <v>689</v>
      </c>
      <c r="B710" t="s">
        <v>1653</v>
      </c>
      <c r="C710" s="1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  <c r="K710" t="str">
        <f>TEXT(Table1[[#This Row],[PurchaseDate]],"mmm")</f>
        <v>Nov</v>
      </c>
      <c r="L710">
        <f>YEAR(Table1[[#This Row],[PurchaseDate]])</f>
        <v>2024</v>
      </c>
      <c r="M710" t="str">
        <f>IF(Table1[[#This Row],[TotalPrice]]&gt;2000,"High Sales","Low Sales")</f>
        <v>Low Sales</v>
      </c>
    </row>
    <row r="711" spans="1:13" x14ac:dyDescent="0.3">
      <c r="A711" t="s">
        <v>690</v>
      </c>
      <c r="B711" t="s">
        <v>1652</v>
      </c>
      <c r="C711" s="1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  <c r="K711" t="str">
        <f>TEXT(Table1[[#This Row],[PurchaseDate]],"mmm")</f>
        <v>Nov</v>
      </c>
      <c r="L711">
        <f>YEAR(Table1[[#This Row],[PurchaseDate]])</f>
        <v>2024</v>
      </c>
      <c r="M711" t="str">
        <f>IF(Table1[[#This Row],[TotalPrice]]&gt;2000,"High Sales","Low Sales")</f>
        <v>Low Sales</v>
      </c>
    </row>
    <row r="712" spans="1:13" x14ac:dyDescent="0.3">
      <c r="A712" t="s">
        <v>691</v>
      </c>
      <c r="B712" t="s">
        <v>1654</v>
      </c>
      <c r="C712" s="1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  <c r="K712" t="str">
        <f>TEXT(Table1[[#This Row],[PurchaseDate]],"mmm")</f>
        <v>Mar</v>
      </c>
      <c r="L712">
        <f>YEAR(Table1[[#This Row],[PurchaseDate]])</f>
        <v>2025</v>
      </c>
      <c r="M712" t="str">
        <f>IF(Table1[[#This Row],[TotalPrice]]&gt;2000,"High Sales","Low Sales")</f>
        <v>Low Sales</v>
      </c>
    </row>
    <row r="713" spans="1:13" x14ac:dyDescent="0.3">
      <c r="A713" t="s">
        <v>692</v>
      </c>
      <c r="B713" t="s">
        <v>1658</v>
      </c>
      <c r="C713" s="1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  <c r="K713" t="str">
        <f>TEXT(Table1[[#This Row],[PurchaseDate]],"mmm")</f>
        <v>May</v>
      </c>
      <c r="L713">
        <f>YEAR(Table1[[#This Row],[PurchaseDate]])</f>
        <v>2024</v>
      </c>
      <c r="M713" t="str">
        <f>IF(Table1[[#This Row],[TotalPrice]]&gt;2000,"High Sales","Low Sales")</f>
        <v>High Sales</v>
      </c>
    </row>
    <row r="714" spans="1:13" x14ac:dyDescent="0.3">
      <c r="A714" t="s">
        <v>693</v>
      </c>
      <c r="B714" t="s">
        <v>1656</v>
      </c>
      <c r="C714" s="1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  <c r="K714" t="str">
        <f>TEXT(Table1[[#This Row],[PurchaseDate]],"mmm")</f>
        <v>Mar</v>
      </c>
      <c r="L714">
        <f>YEAR(Table1[[#This Row],[PurchaseDate]])</f>
        <v>2024</v>
      </c>
      <c r="M714" t="str">
        <f>IF(Table1[[#This Row],[TotalPrice]]&gt;2000,"High Sales","Low Sales")</f>
        <v>Low Sales</v>
      </c>
    </row>
    <row r="715" spans="1:13" x14ac:dyDescent="0.3">
      <c r="A715" t="s">
        <v>694</v>
      </c>
      <c r="B715" t="s">
        <v>1658</v>
      </c>
      <c r="C715" s="1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  <c r="K715" t="str">
        <f>TEXT(Table1[[#This Row],[PurchaseDate]],"mmm")</f>
        <v>Dec</v>
      </c>
      <c r="L715">
        <f>YEAR(Table1[[#This Row],[PurchaseDate]])</f>
        <v>2023</v>
      </c>
      <c r="M715" t="str">
        <f>IF(Table1[[#This Row],[TotalPrice]]&gt;2000,"High Sales","Low Sales")</f>
        <v>High Sales</v>
      </c>
    </row>
    <row r="716" spans="1:13" x14ac:dyDescent="0.3">
      <c r="A716" t="s">
        <v>695</v>
      </c>
      <c r="B716" t="s">
        <v>1655</v>
      </c>
      <c r="C716" s="1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  <c r="K716" t="str">
        <f>TEXT(Table1[[#This Row],[PurchaseDate]],"mmm")</f>
        <v>Apr</v>
      </c>
      <c r="L716">
        <f>YEAR(Table1[[#This Row],[PurchaseDate]])</f>
        <v>2024</v>
      </c>
      <c r="M716" t="str">
        <f>IF(Table1[[#This Row],[TotalPrice]]&gt;2000,"High Sales","Low Sales")</f>
        <v>High Sales</v>
      </c>
    </row>
    <row r="717" spans="1:13" x14ac:dyDescent="0.3">
      <c r="A717" t="s">
        <v>261</v>
      </c>
      <c r="B717" t="s">
        <v>1656</v>
      </c>
      <c r="C717" s="1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  <c r="K717" t="str">
        <f>TEXT(Table1[[#This Row],[PurchaseDate]],"mmm")</f>
        <v>Feb</v>
      </c>
      <c r="L717">
        <f>YEAR(Table1[[#This Row],[PurchaseDate]])</f>
        <v>2025</v>
      </c>
      <c r="M717" t="str">
        <f>IF(Table1[[#This Row],[TotalPrice]]&gt;2000,"High Sales","Low Sales")</f>
        <v>Low Sales</v>
      </c>
    </row>
    <row r="718" spans="1:13" x14ac:dyDescent="0.3">
      <c r="A718" t="s">
        <v>696</v>
      </c>
      <c r="B718" t="s">
        <v>1655</v>
      </c>
      <c r="C718" s="1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  <c r="K718" t="str">
        <f>TEXT(Table1[[#This Row],[PurchaseDate]],"mmm")</f>
        <v>May</v>
      </c>
      <c r="L718">
        <f>YEAR(Table1[[#This Row],[PurchaseDate]])</f>
        <v>2024</v>
      </c>
      <c r="M718" t="str">
        <f>IF(Table1[[#This Row],[TotalPrice]]&gt;2000,"High Sales","Low Sales")</f>
        <v>Low Sales</v>
      </c>
    </row>
    <row r="719" spans="1:13" x14ac:dyDescent="0.3">
      <c r="A719" t="s">
        <v>697</v>
      </c>
      <c r="B719" t="s">
        <v>1656</v>
      </c>
      <c r="C719" s="1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  <c r="K719" t="str">
        <f>TEXT(Table1[[#This Row],[PurchaseDate]],"mmm")</f>
        <v>Aug</v>
      </c>
      <c r="L719">
        <f>YEAR(Table1[[#This Row],[PurchaseDate]])</f>
        <v>2024</v>
      </c>
      <c r="M719" t="str">
        <f>IF(Table1[[#This Row],[TotalPrice]]&gt;2000,"High Sales","Low Sales")</f>
        <v>High Sales</v>
      </c>
    </row>
    <row r="720" spans="1:13" x14ac:dyDescent="0.3">
      <c r="A720" t="s">
        <v>698</v>
      </c>
      <c r="B720" t="s">
        <v>1658</v>
      </c>
      <c r="C720" s="1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  <c r="K720" t="str">
        <f>TEXT(Table1[[#This Row],[PurchaseDate]],"mmm")</f>
        <v>Jan</v>
      </c>
      <c r="L720">
        <f>YEAR(Table1[[#This Row],[PurchaseDate]])</f>
        <v>2023</v>
      </c>
      <c r="M720" t="str">
        <f>IF(Table1[[#This Row],[TotalPrice]]&gt;2000,"High Sales","Low Sales")</f>
        <v>Low Sales</v>
      </c>
    </row>
    <row r="721" spans="1:13" x14ac:dyDescent="0.3">
      <c r="A721" t="s">
        <v>699</v>
      </c>
      <c r="B721" t="s">
        <v>1655</v>
      </c>
      <c r="C721" s="1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  <c r="K721" t="str">
        <f>TEXT(Table1[[#This Row],[PurchaseDate]],"mmm")</f>
        <v>Feb</v>
      </c>
      <c r="L721">
        <f>YEAR(Table1[[#This Row],[PurchaseDate]])</f>
        <v>2024</v>
      </c>
      <c r="M721" t="str">
        <f>IF(Table1[[#This Row],[TotalPrice]]&gt;2000,"High Sales","Low Sales")</f>
        <v>Low Sales</v>
      </c>
    </row>
    <row r="722" spans="1:13" x14ac:dyDescent="0.3">
      <c r="A722" t="s">
        <v>700</v>
      </c>
      <c r="B722" t="s">
        <v>1652</v>
      </c>
      <c r="C722" s="1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  <c r="K722" t="str">
        <f>TEXT(Table1[[#This Row],[PurchaseDate]],"mmm")</f>
        <v>Jul</v>
      </c>
      <c r="L722">
        <f>YEAR(Table1[[#This Row],[PurchaseDate]])</f>
        <v>2024</v>
      </c>
      <c r="M722" t="str">
        <f>IF(Table1[[#This Row],[TotalPrice]]&gt;2000,"High Sales","Low Sales")</f>
        <v>High Sales</v>
      </c>
    </row>
    <row r="723" spans="1:13" x14ac:dyDescent="0.3">
      <c r="A723" t="s">
        <v>701</v>
      </c>
      <c r="B723" t="s">
        <v>1655</v>
      </c>
      <c r="C723" s="1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  <c r="K723" t="str">
        <f>TEXT(Table1[[#This Row],[PurchaseDate]],"mmm")</f>
        <v>Oct</v>
      </c>
      <c r="L723">
        <f>YEAR(Table1[[#This Row],[PurchaseDate]])</f>
        <v>2023</v>
      </c>
      <c r="M723" t="str">
        <f>IF(Table1[[#This Row],[TotalPrice]]&gt;2000,"High Sales","Low Sales")</f>
        <v>Low Sales</v>
      </c>
    </row>
    <row r="724" spans="1:13" x14ac:dyDescent="0.3">
      <c r="A724" t="s">
        <v>702</v>
      </c>
      <c r="B724" t="s">
        <v>1657</v>
      </c>
      <c r="C724" s="1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  <c r="K724" t="str">
        <f>TEXT(Table1[[#This Row],[PurchaseDate]],"mmm")</f>
        <v>Mar</v>
      </c>
      <c r="L724">
        <f>YEAR(Table1[[#This Row],[PurchaseDate]])</f>
        <v>2024</v>
      </c>
      <c r="M724" t="str">
        <f>IF(Table1[[#This Row],[TotalPrice]]&gt;2000,"High Sales","Low Sales")</f>
        <v>Low Sales</v>
      </c>
    </row>
    <row r="725" spans="1:13" x14ac:dyDescent="0.3">
      <c r="A725" t="s">
        <v>703</v>
      </c>
      <c r="B725" t="s">
        <v>1652</v>
      </c>
      <c r="C725" s="1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  <c r="K725" t="str">
        <f>TEXT(Table1[[#This Row],[PurchaseDate]],"mmm")</f>
        <v>Jun</v>
      </c>
      <c r="L725">
        <f>YEAR(Table1[[#This Row],[PurchaseDate]])</f>
        <v>2024</v>
      </c>
      <c r="M725" t="str">
        <f>IF(Table1[[#This Row],[TotalPrice]]&gt;2000,"High Sales","Low Sales")</f>
        <v>High Sales</v>
      </c>
    </row>
    <row r="726" spans="1:13" x14ac:dyDescent="0.3">
      <c r="A726" t="s">
        <v>704</v>
      </c>
      <c r="B726" t="s">
        <v>1655</v>
      </c>
      <c r="C726" s="1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  <c r="K726" t="str">
        <f>TEXT(Table1[[#This Row],[PurchaseDate]],"mmm")</f>
        <v>Oct</v>
      </c>
      <c r="L726">
        <f>YEAR(Table1[[#This Row],[PurchaseDate]])</f>
        <v>2024</v>
      </c>
      <c r="M726" t="str">
        <f>IF(Table1[[#This Row],[TotalPrice]]&gt;2000,"High Sales","Low Sales")</f>
        <v>High Sales</v>
      </c>
    </row>
    <row r="727" spans="1:13" x14ac:dyDescent="0.3">
      <c r="A727" t="s">
        <v>705</v>
      </c>
      <c r="B727" t="s">
        <v>1655</v>
      </c>
      <c r="C727" s="1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  <c r="K727" t="str">
        <f>TEXT(Table1[[#This Row],[PurchaseDate]],"mmm")</f>
        <v>Mar</v>
      </c>
      <c r="L727">
        <f>YEAR(Table1[[#This Row],[PurchaseDate]])</f>
        <v>2024</v>
      </c>
      <c r="M727" t="str">
        <f>IF(Table1[[#This Row],[TotalPrice]]&gt;2000,"High Sales","Low Sales")</f>
        <v>Low Sales</v>
      </c>
    </row>
    <row r="728" spans="1:13" x14ac:dyDescent="0.3">
      <c r="A728" t="s">
        <v>706</v>
      </c>
      <c r="B728" t="s">
        <v>1658</v>
      </c>
      <c r="C728" s="1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  <c r="K728" t="str">
        <f>TEXT(Table1[[#This Row],[PurchaseDate]],"mmm")</f>
        <v>Mar</v>
      </c>
      <c r="L728">
        <f>YEAR(Table1[[#This Row],[PurchaseDate]])</f>
        <v>2023</v>
      </c>
      <c r="M728" t="str">
        <f>IF(Table1[[#This Row],[TotalPrice]]&gt;2000,"High Sales","Low Sales")</f>
        <v>Low Sales</v>
      </c>
    </row>
    <row r="729" spans="1:13" x14ac:dyDescent="0.3">
      <c r="A729" t="s">
        <v>707</v>
      </c>
      <c r="B729" t="s">
        <v>1653</v>
      </c>
      <c r="C729" s="1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  <c r="K729" t="str">
        <f>TEXT(Table1[[#This Row],[PurchaseDate]],"mmm")</f>
        <v>May</v>
      </c>
      <c r="L729">
        <f>YEAR(Table1[[#This Row],[PurchaseDate]])</f>
        <v>2023</v>
      </c>
      <c r="M729" t="str">
        <f>IF(Table1[[#This Row],[TotalPrice]]&gt;2000,"High Sales","Low Sales")</f>
        <v>Low Sales</v>
      </c>
    </row>
    <row r="730" spans="1:13" x14ac:dyDescent="0.3">
      <c r="A730" t="s">
        <v>708</v>
      </c>
      <c r="B730" t="s">
        <v>1655</v>
      </c>
      <c r="C730" s="1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  <c r="K730" t="str">
        <f>TEXT(Table1[[#This Row],[PurchaseDate]],"mmm")</f>
        <v>Oct</v>
      </c>
      <c r="L730">
        <f>YEAR(Table1[[#This Row],[PurchaseDate]])</f>
        <v>2023</v>
      </c>
      <c r="M730" t="str">
        <f>IF(Table1[[#This Row],[TotalPrice]]&gt;2000,"High Sales","Low Sales")</f>
        <v>Low Sales</v>
      </c>
    </row>
    <row r="731" spans="1:13" x14ac:dyDescent="0.3">
      <c r="A731" t="s">
        <v>709</v>
      </c>
      <c r="B731" t="s">
        <v>1655</v>
      </c>
      <c r="C731" s="1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  <c r="K731" t="str">
        <f>TEXT(Table1[[#This Row],[PurchaseDate]],"mmm")</f>
        <v>Apr</v>
      </c>
      <c r="L731">
        <f>YEAR(Table1[[#This Row],[PurchaseDate]])</f>
        <v>2025</v>
      </c>
      <c r="M731" t="str">
        <f>IF(Table1[[#This Row],[TotalPrice]]&gt;2000,"High Sales","Low Sales")</f>
        <v>Low Sales</v>
      </c>
    </row>
    <row r="732" spans="1:13" x14ac:dyDescent="0.3">
      <c r="A732" t="s">
        <v>710</v>
      </c>
      <c r="B732" t="s">
        <v>1652</v>
      </c>
      <c r="C732" s="1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  <c r="K732" t="str">
        <f>TEXT(Table1[[#This Row],[PurchaseDate]],"mmm")</f>
        <v>Mar</v>
      </c>
      <c r="L732">
        <f>YEAR(Table1[[#This Row],[PurchaseDate]])</f>
        <v>2023</v>
      </c>
      <c r="M732" t="str">
        <f>IF(Table1[[#This Row],[TotalPrice]]&gt;2000,"High Sales","Low Sales")</f>
        <v>High Sales</v>
      </c>
    </row>
    <row r="733" spans="1:13" x14ac:dyDescent="0.3">
      <c r="A733" t="s">
        <v>711</v>
      </c>
      <c r="B733" t="s">
        <v>1655</v>
      </c>
      <c r="C733" s="1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  <c r="K733" t="str">
        <f>TEXT(Table1[[#This Row],[PurchaseDate]],"mmm")</f>
        <v>Apr</v>
      </c>
      <c r="L733">
        <f>YEAR(Table1[[#This Row],[PurchaseDate]])</f>
        <v>2024</v>
      </c>
      <c r="M733" t="str">
        <f>IF(Table1[[#This Row],[TotalPrice]]&gt;2000,"High Sales","Low Sales")</f>
        <v>High Sales</v>
      </c>
    </row>
    <row r="734" spans="1:13" x14ac:dyDescent="0.3">
      <c r="A734" t="s">
        <v>712</v>
      </c>
      <c r="B734" t="s">
        <v>1657</v>
      </c>
      <c r="C734" s="1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  <c r="K734" t="str">
        <f>TEXT(Table1[[#This Row],[PurchaseDate]],"mmm")</f>
        <v>Feb</v>
      </c>
      <c r="L734">
        <f>YEAR(Table1[[#This Row],[PurchaseDate]])</f>
        <v>2024</v>
      </c>
      <c r="M734" t="str">
        <f>IF(Table1[[#This Row],[TotalPrice]]&gt;2000,"High Sales","Low Sales")</f>
        <v>High Sales</v>
      </c>
    </row>
    <row r="735" spans="1:13" x14ac:dyDescent="0.3">
      <c r="A735" t="s">
        <v>713</v>
      </c>
      <c r="B735" t="s">
        <v>1654</v>
      </c>
      <c r="C735" s="1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  <c r="K735" t="str">
        <f>TEXT(Table1[[#This Row],[PurchaseDate]],"mmm")</f>
        <v>Jul</v>
      </c>
      <c r="L735">
        <f>YEAR(Table1[[#This Row],[PurchaseDate]])</f>
        <v>2024</v>
      </c>
      <c r="M735" t="str">
        <f>IF(Table1[[#This Row],[TotalPrice]]&gt;2000,"High Sales","Low Sales")</f>
        <v>High Sales</v>
      </c>
    </row>
    <row r="736" spans="1:13" x14ac:dyDescent="0.3">
      <c r="A736" t="s">
        <v>714</v>
      </c>
      <c r="B736" t="s">
        <v>1655</v>
      </c>
      <c r="C736" s="1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  <c r="K736" t="str">
        <f>TEXT(Table1[[#This Row],[PurchaseDate]],"mmm")</f>
        <v>May</v>
      </c>
      <c r="L736">
        <f>YEAR(Table1[[#This Row],[PurchaseDate]])</f>
        <v>2025</v>
      </c>
      <c r="M736" t="str">
        <f>IF(Table1[[#This Row],[TotalPrice]]&gt;2000,"High Sales","Low Sales")</f>
        <v>Low Sales</v>
      </c>
    </row>
    <row r="737" spans="1:13" x14ac:dyDescent="0.3">
      <c r="A737" t="s">
        <v>715</v>
      </c>
      <c r="B737" t="s">
        <v>1657</v>
      </c>
      <c r="C737" s="1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  <c r="K737" t="str">
        <f>TEXT(Table1[[#This Row],[PurchaseDate]],"mmm")</f>
        <v>Aug</v>
      </c>
      <c r="L737">
        <f>YEAR(Table1[[#This Row],[PurchaseDate]])</f>
        <v>2023</v>
      </c>
      <c r="M737" t="str">
        <f>IF(Table1[[#This Row],[TotalPrice]]&gt;2000,"High Sales","Low Sales")</f>
        <v>Low Sales</v>
      </c>
    </row>
    <row r="738" spans="1:13" x14ac:dyDescent="0.3">
      <c r="A738" t="s">
        <v>716</v>
      </c>
      <c r="B738" t="s">
        <v>1656</v>
      </c>
      <c r="C738" s="1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  <c r="K738" t="str">
        <f>TEXT(Table1[[#This Row],[PurchaseDate]],"mmm")</f>
        <v>May</v>
      </c>
      <c r="L738">
        <f>YEAR(Table1[[#This Row],[PurchaseDate]])</f>
        <v>2024</v>
      </c>
      <c r="M738" t="str">
        <f>IF(Table1[[#This Row],[TotalPrice]]&gt;2000,"High Sales","Low Sales")</f>
        <v>Low Sales</v>
      </c>
    </row>
    <row r="739" spans="1:13" x14ac:dyDescent="0.3">
      <c r="A739" t="s">
        <v>262</v>
      </c>
      <c r="B739" t="s">
        <v>1653</v>
      </c>
      <c r="C739" s="1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  <c r="K739" t="str">
        <f>TEXT(Table1[[#This Row],[PurchaseDate]],"mmm")</f>
        <v>Mar</v>
      </c>
      <c r="L739">
        <f>YEAR(Table1[[#This Row],[PurchaseDate]])</f>
        <v>2024</v>
      </c>
      <c r="M739" t="str">
        <f>IF(Table1[[#This Row],[TotalPrice]]&gt;2000,"High Sales","Low Sales")</f>
        <v>Low Sales</v>
      </c>
    </row>
    <row r="740" spans="1:13" x14ac:dyDescent="0.3">
      <c r="A740" t="s">
        <v>717</v>
      </c>
      <c r="B740" t="s">
        <v>1655</v>
      </c>
      <c r="C740" s="1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  <c r="K740" t="str">
        <f>TEXT(Table1[[#This Row],[PurchaseDate]],"mmm")</f>
        <v>Jun</v>
      </c>
      <c r="L740">
        <f>YEAR(Table1[[#This Row],[PurchaseDate]])</f>
        <v>2023</v>
      </c>
      <c r="M740" t="str">
        <f>IF(Table1[[#This Row],[TotalPrice]]&gt;2000,"High Sales","Low Sales")</f>
        <v>Low Sales</v>
      </c>
    </row>
    <row r="741" spans="1:13" x14ac:dyDescent="0.3">
      <c r="A741" t="s">
        <v>718</v>
      </c>
      <c r="B741" t="s">
        <v>1653</v>
      </c>
      <c r="C741" s="1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  <c r="K741" t="str">
        <f>TEXT(Table1[[#This Row],[PurchaseDate]],"mmm")</f>
        <v>Nov</v>
      </c>
      <c r="L741">
        <f>YEAR(Table1[[#This Row],[PurchaseDate]])</f>
        <v>2024</v>
      </c>
      <c r="M741" t="str">
        <f>IF(Table1[[#This Row],[TotalPrice]]&gt;2000,"High Sales","Low Sales")</f>
        <v>High Sales</v>
      </c>
    </row>
    <row r="742" spans="1:13" x14ac:dyDescent="0.3">
      <c r="A742" t="s">
        <v>719</v>
      </c>
      <c r="B742" t="s">
        <v>1657</v>
      </c>
      <c r="C742" s="1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  <c r="K742" t="str">
        <f>TEXT(Table1[[#This Row],[PurchaseDate]],"mmm")</f>
        <v>Apr</v>
      </c>
      <c r="L742">
        <f>YEAR(Table1[[#This Row],[PurchaseDate]])</f>
        <v>2023</v>
      </c>
      <c r="M742" t="str">
        <f>IF(Table1[[#This Row],[TotalPrice]]&gt;2000,"High Sales","Low Sales")</f>
        <v>High Sales</v>
      </c>
    </row>
    <row r="743" spans="1:13" x14ac:dyDescent="0.3">
      <c r="A743" t="s">
        <v>720</v>
      </c>
      <c r="B743" t="s">
        <v>1653</v>
      </c>
      <c r="C743" s="1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  <c r="K743" t="str">
        <f>TEXT(Table1[[#This Row],[PurchaseDate]],"mmm")</f>
        <v>Nov</v>
      </c>
      <c r="L743">
        <f>YEAR(Table1[[#This Row],[PurchaseDate]])</f>
        <v>2023</v>
      </c>
      <c r="M743" t="str">
        <f>IF(Table1[[#This Row],[TotalPrice]]&gt;2000,"High Sales","Low Sales")</f>
        <v>High Sales</v>
      </c>
    </row>
    <row r="744" spans="1:13" x14ac:dyDescent="0.3">
      <c r="A744" t="s">
        <v>721</v>
      </c>
      <c r="B744" t="s">
        <v>1653</v>
      </c>
      <c r="C744" s="1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  <c r="K744" t="str">
        <f>TEXT(Table1[[#This Row],[PurchaseDate]],"mmm")</f>
        <v>Mar</v>
      </c>
      <c r="L744">
        <f>YEAR(Table1[[#This Row],[PurchaseDate]])</f>
        <v>2024</v>
      </c>
      <c r="M744" t="str">
        <f>IF(Table1[[#This Row],[TotalPrice]]&gt;2000,"High Sales","Low Sales")</f>
        <v>High Sales</v>
      </c>
    </row>
    <row r="745" spans="1:13" x14ac:dyDescent="0.3">
      <c r="A745" t="s">
        <v>388</v>
      </c>
      <c r="B745" t="s">
        <v>1657</v>
      </c>
      <c r="C745" s="1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  <c r="K745" t="str">
        <f>TEXT(Table1[[#This Row],[PurchaseDate]],"mmm")</f>
        <v>Oct</v>
      </c>
      <c r="L745">
        <f>YEAR(Table1[[#This Row],[PurchaseDate]])</f>
        <v>2023</v>
      </c>
      <c r="M745" t="str">
        <f>IF(Table1[[#This Row],[TotalPrice]]&gt;2000,"High Sales","Low Sales")</f>
        <v>Low Sales</v>
      </c>
    </row>
    <row r="746" spans="1:13" x14ac:dyDescent="0.3">
      <c r="A746" t="s">
        <v>722</v>
      </c>
      <c r="B746" t="s">
        <v>1655</v>
      </c>
      <c r="C746" s="1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  <c r="K746" t="str">
        <f>TEXT(Table1[[#This Row],[PurchaseDate]],"mmm")</f>
        <v>Dec</v>
      </c>
      <c r="L746">
        <f>YEAR(Table1[[#This Row],[PurchaseDate]])</f>
        <v>2024</v>
      </c>
      <c r="M746" t="str">
        <f>IF(Table1[[#This Row],[TotalPrice]]&gt;2000,"High Sales","Low Sales")</f>
        <v>High Sales</v>
      </c>
    </row>
    <row r="747" spans="1:13" x14ac:dyDescent="0.3">
      <c r="A747" t="s">
        <v>723</v>
      </c>
      <c r="B747" t="s">
        <v>1657</v>
      </c>
      <c r="C747" s="1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  <c r="K747" t="str">
        <f>TEXT(Table1[[#This Row],[PurchaseDate]],"mmm")</f>
        <v>Jun</v>
      </c>
      <c r="L747">
        <f>YEAR(Table1[[#This Row],[PurchaseDate]])</f>
        <v>2025</v>
      </c>
      <c r="M747" t="str">
        <f>IF(Table1[[#This Row],[TotalPrice]]&gt;2000,"High Sales","Low Sales")</f>
        <v>Low Sales</v>
      </c>
    </row>
    <row r="748" spans="1:13" x14ac:dyDescent="0.3">
      <c r="A748" t="s">
        <v>724</v>
      </c>
      <c r="B748" t="s">
        <v>1656</v>
      </c>
      <c r="C748" s="1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  <c r="K748" t="str">
        <f>TEXT(Table1[[#This Row],[PurchaseDate]],"mmm")</f>
        <v>Jan</v>
      </c>
      <c r="L748">
        <f>YEAR(Table1[[#This Row],[PurchaseDate]])</f>
        <v>2025</v>
      </c>
      <c r="M748" t="str">
        <f>IF(Table1[[#This Row],[TotalPrice]]&gt;2000,"High Sales","Low Sales")</f>
        <v>Low Sales</v>
      </c>
    </row>
    <row r="749" spans="1:13" x14ac:dyDescent="0.3">
      <c r="A749" t="s">
        <v>725</v>
      </c>
      <c r="B749" t="s">
        <v>1654</v>
      </c>
      <c r="C749" s="1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  <c r="K749" t="str">
        <f>TEXT(Table1[[#This Row],[PurchaseDate]],"mmm")</f>
        <v>Dec</v>
      </c>
      <c r="L749">
        <f>YEAR(Table1[[#This Row],[PurchaseDate]])</f>
        <v>2023</v>
      </c>
      <c r="M749" t="str">
        <f>IF(Table1[[#This Row],[TotalPrice]]&gt;2000,"High Sales","Low Sales")</f>
        <v>High Sales</v>
      </c>
    </row>
    <row r="750" spans="1:13" x14ac:dyDescent="0.3">
      <c r="A750" t="s">
        <v>726</v>
      </c>
      <c r="B750" t="s">
        <v>1653</v>
      </c>
      <c r="C750" s="1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  <c r="K750" t="str">
        <f>TEXT(Table1[[#This Row],[PurchaseDate]],"mmm")</f>
        <v>Mar</v>
      </c>
      <c r="L750">
        <f>YEAR(Table1[[#This Row],[PurchaseDate]])</f>
        <v>2025</v>
      </c>
      <c r="M750" t="str">
        <f>IF(Table1[[#This Row],[TotalPrice]]&gt;2000,"High Sales","Low Sales")</f>
        <v>Low Sales</v>
      </c>
    </row>
    <row r="751" spans="1:13" x14ac:dyDescent="0.3">
      <c r="A751" t="s">
        <v>727</v>
      </c>
      <c r="B751" t="s">
        <v>1655</v>
      </c>
      <c r="C751" s="1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  <c r="K751" t="str">
        <f>TEXT(Table1[[#This Row],[PurchaseDate]],"mmm")</f>
        <v>Jun</v>
      </c>
      <c r="L751">
        <f>YEAR(Table1[[#This Row],[PurchaseDate]])</f>
        <v>2025</v>
      </c>
      <c r="M751" t="str">
        <f>IF(Table1[[#This Row],[TotalPrice]]&gt;2000,"High Sales","Low Sales")</f>
        <v>Low Sales</v>
      </c>
    </row>
    <row r="752" spans="1:13" x14ac:dyDescent="0.3">
      <c r="A752" t="s">
        <v>530</v>
      </c>
      <c r="B752" t="s">
        <v>1652</v>
      </c>
      <c r="C752" s="1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  <c r="K752" t="str">
        <f>TEXT(Table1[[#This Row],[PurchaseDate]],"mmm")</f>
        <v>Aug</v>
      </c>
      <c r="L752">
        <f>YEAR(Table1[[#This Row],[PurchaseDate]])</f>
        <v>2023</v>
      </c>
      <c r="M752" t="str">
        <f>IF(Table1[[#This Row],[TotalPrice]]&gt;2000,"High Sales","Low Sales")</f>
        <v>Low Sales</v>
      </c>
    </row>
    <row r="753" spans="1:13" x14ac:dyDescent="0.3">
      <c r="A753" t="s">
        <v>728</v>
      </c>
      <c r="B753" t="s">
        <v>1654</v>
      </c>
      <c r="C753" s="1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  <c r="K753" t="str">
        <f>TEXT(Table1[[#This Row],[PurchaseDate]],"mmm")</f>
        <v>Apr</v>
      </c>
      <c r="L753">
        <f>YEAR(Table1[[#This Row],[PurchaseDate]])</f>
        <v>2024</v>
      </c>
      <c r="M753" t="str">
        <f>IF(Table1[[#This Row],[TotalPrice]]&gt;2000,"High Sales","Low Sales")</f>
        <v>High Sales</v>
      </c>
    </row>
    <row r="754" spans="1:13" x14ac:dyDescent="0.3">
      <c r="A754" t="s">
        <v>729</v>
      </c>
      <c r="B754" t="s">
        <v>1656</v>
      </c>
      <c r="C754" s="1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  <c r="K754" t="str">
        <f>TEXT(Table1[[#This Row],[PurchaseDate]],"mmm")</f>
        <v>Apr</v>
      </c>
      <c r="L754">
        <f>YEAR(Table1[[#This Row],[PurchaseDate]])</f>
        <v>2023</v>
      </c>
      <c r="M754" t="str">
        <f>IF(Table1[[#This Row],[TotalPrice]]&gt;2000,"High Sales","Low Sales")</f>
        <v>Low Sales</v>
      </c>
    </row>
    <row r="755" spans="1:13" x14ac:dyDescent="0.3">
      <c r="A755" t="s">
        <v>730</v>
      </c>
      <c r="B755" t="s">
        <v>1654</v>
      </c>
      <c r="C755" s="1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  <c r="K755" t="str">
        <f>TEXT(Table1[[#This Row],[PurchaseDate]],"mmm")</f>
        <v>Aug</v>
      </c>
      <c r="L755">
        <f>YEAR(Table1[[#This Row],[PurchaseDate]])</f>
        <v>2023</v>
      </c>
      <c r="M755" t="str">
        <f>IF(Table1[[#This Row],[TotalPrice]]&gt;2000,"High Sales","Low Sales")</f>
        <v>Low Sales</v>
      </c>
    </row>
    <row r="756" spans="1:13" x14ac:dyDescent="0.3">
      <c r="A756" t="s">
        <v>731</v>
      </c>
      <c r="B756" t="s">
        <v>1652</v>
      </c>
      <c r="C756" s="1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  <c r="K756" t="str">
        <f>TEXT(Table1[[#This Row],[PurchaseDate]],"mmm")</f>
        <v>Jan</v>
      </c>
      <c r="L756">
        <f>YEAR(Table1[[#This Row],[PurchaseDate]])</f>
        <v>2024</v>
      </c>
      <c r="M756" t="str">
        <f>IF(Table1[[#This Row],[TotalPrice]]&gt;2000,"High Sales","Low Sales")</f>
        <v>High Sales</v>
      </c>
    </row>
    <row r="757" spans="1:13" x14ac:dyDescent="0.3">
      <c r="A757" t="s">
        <v>732</v>
      </c>
      <c r="B757" t="s">
        <v>1656</v>
      </c>
      <c r="C757" s="1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  <c r="K757" t="str">
        <f>TEXT(Table1[[#This Row],[PurchaseDate]],"mmm")</f>
        <v>May</v>
      </c>
      <c r="L757">
        <f>YEAR(Table1[[#This Row],[PurchaseDate]])</f>
        <v>2023</v>
      </c>
      <c r="M757" t="str">
        <f>IF(Table1[[#This Row],[TotalPrice]]&gt;2000,"High Sales","Low Sales")</f>
        <v>High Sales</v>
      </c>
    </row>
    <row r="758" spans="1:13" x14ac:dyDescent="0.3">
      <c r="A758" t="s">
        <v>733</v>
      </c>
      <c r="B758" t="s">
        <v>1658</v>
      </c>
      <c r="C758" s="1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  <c r="K758" t="str">
        <f>TEXT(Table1[[#This Row],[PurchaseDate]],"mmm")</f>
        <v>Feb</v>
      </c>
      <c r="L758">
        <f>YEAR(Table1[[#This Row],[PurchaseDate]])</f>
        <v>2025</v>
      </c>
      <c r="M758" t="str">
        <f>IF(Table1[[#This Row],[TotalPrice]]&gt;2000,"High Sales","Low Sales")</f>
        <v>Low Sales</v>
      </c>
    </row>
    <row r="759" spans="1:13" x14ac:dyDescent="0.3">
      <c r="A759" t="s">
        <v>734</v>
      </c>
      <c r="B759" t="s">
        <v>1653</v>
      </c>
      <c r="C759" s="1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  <c r="K759" t="str">
        <f>TEXT(Table1[[#This Row],[PurchaseDate]],"mmm")</f>
        <v>May</v>
      </c>
      <c r="L759">
        <f>YEAR(Table1[[#This Row],[PurchaseDate]])</f>
        <v>2025</v>
      </c>
      <c r="M759" t="str">
        <f>IF(Table1[[#This Row],[TotalPrice]]&gt;2000,"High Sales","Low Sales")</f>
        <v>Low Sales</v>
      </c>
    </row>
    <row r="760" spans="1:13" x14ac:dyDescent="0.3">
      <c r="A760" t="s">
        <v>735</v>
      </c>
      <c r="B760" t="s">
        <v>1654</v>
      </c>
      <c r="C760" s="1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  <c r="K760" t="str">
        <f>TEXT(Table1[[#This Row],[PurchaseDate]],"mmm")</f>
        <v>Oct</v>
      </c>
      <c r="L760">
        <f>YEAR(Table1[[#This Row],[PurchaseDate]])</f>
        <v>2023</v>
      </c>
      <c r="M760" t="str">
        <f>IF(Table1[[#This Row],[TotalPrice]]&gt;2000,"High Sales","Low Sales")</f>
        <v>High Sales</v>
      </c>
    </row>
    <row r="761" spans="1:13" x14ac:dyDescent="0.3">
      <c r="A761" t="s">
        <v>736</v>
      </c>
      <c r="B761" t="s">
        <v>1653</v>
      </c>
      <c r="C761" s="1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  <c r="K761" t="str">
        <f>TEXT(Table1[[#This Row],[PurchaseDate]],"mmm")</f>
        <v>May</v>
      </c>
      <c r="L761">
        <f>YEAR(Table1[[#This Row],[PurchaseDate]])</f>
        <v>2024</v>
      </c>
      <c r="M761" t="str">
        <f>IF(Table1[[#This Row],[TotalPrice]]&gt;2000,"High Sales","Low Sales")</f>
        <v>High Sales</v>
      </c>
    </row>
    <row r="762" spans="1:13" x14ac:dyDescent="0.3">
      <c r="A762" t="s">
        <v>737</v>
      </c>
      <c r="B762" t="s">
        <v>1653</v>
      </c>
      <c r="C762" s="1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  <c r="K762" t="str">
        <f>TEXT(Table1[[#This Row],[PurchaseDate]],"mmm")</f>
        <v>Apr</v>
      </c>
      <c r="L762">
        <f>YEAR(Table1[[#This Row],[PurchaseDate]])</f>
        <v>2023</v>
      </c>
      <c r="M762" t="str">
        <f>IF(Table1[[#This Row],[TotalPrice]]&gt;2000,"High Sales","Low Sales")</f>
        <v>Low Sales</v>
      </c>
    </row>
    <row r="763" spans="1:13" x14ac:dyDescent="0.3">
      <c r="A763" t="s">
        <v>738</v>
      </c>
      <c r="B763" t="s">
        <v>1658</v>
      </c>
      <c r="C763" s="1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  <c r="K763" t="str">
        <f>TEXT(Table1[[#This Row],[PurchaseDate]],"mmm")</f>
        <v>Feb</v>
      </c>
      <c r="L763">
        <f>YEAR(Table1[[#This Row],[PurchaseDate]])</f>
        <v>2025</v>
      </c>
      <c r="M763" t="str">
        <f>IF(Table1[[#This Row],[TotalPrice]]&gt;2000,"High Sales","Low Sales")</f>
        <v>High Sales</v>
      </c>
    </row>
    <row r="764" spans="1:13" x14ac:dyDescent="0.3">
      <c r="A764" t="s">
        <v>739</v>
      </c>
      <c r="B764" t="s">
        <v>1658</v>
      </c>
      <c r="C764" s="1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  <c r="K764" t="str">
        <f>TEXT(Table1[[#This Row],[PurchaseDate]],"mmm")</f>
        <v>Sep</v>
      </c>
      <c r="L764">
        <f>YEAR(Table1[[#This Row],[PurchaseDate]])</f>
        <v>2023</v>
      </c>
      <c r="M764" t="str">
        <f>IF(Table1[[#This Row],[TotalPrice]]&gt;2000,"High Sales","Low Sales")</f>
        <v>Low Sales</v>
      </c>
    </row>
    <row r="765" spans="1:13" x14ac:dyDescent="0.3">
      <c r="A765" t="s">
        <v>740</v>
      </c>
      <c r="B765" t="s">
        <v>1654</v>
      </c>
      <c r="C765" s="1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  <c r="K765" t="str">
        <f>TEXT(Table1[[#This Row],[PurchaseDate]],"mmm")</f>
        <v>Sep</v>
      </c>
      <c r="L765">
        <f>YEAR(Table1[[#This Row],[PurchaseDate]])</f>
        <v>2024</v>
      </c>
      <c r="M765" t="str">
        <f>IF(Table1[[#This Row],[TotalPrice]]&gt;2000,"High Sales","Low Sales")</f>
        <v>High Sales</v>
      </c>
    </row>
    <row r="766" spans="1:13" x14ac:dyDescent="0.3">
      <c r="A766" t="s">
        <v>741</v>
      </c>
      <c r="B766" t="s">
        <v>1658</v>
      </c>
      <c r="C766" s="1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  <c r="K766" t="str">
        <f>TEXT(Table1[[#This Row],[PurchaseDate]],"mmm")</f>
        <v>Nov</v>
      </c>
      <c r="L766">
        <f>YEAR(Table1[[#This Row],[PurchaseDate]])</f>
        <v>2023</v>
      </c>
      <c r="M766" t="str">
        <f>IF(Table1[[#This Row],[TotalPrice]]&gt;2000,"High Sales","Low Sales")</f>
        <v>Low Sales</v>
      </c>
    </row>
    <row r="767" spans="1:13" x14ac:dyDescent="0.3">
      <c r="A767" t="s">
        <v>742</v>
      </c>
      <c r="B767" t="s">
        <v>1657</v>
      </c>
      <c r="C767" s="1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  <c r="K767" t="str">
        <f>TEXT(Table1[[#This Row],[PurchaseDate]],"mmm")</f>
        <v>Feb</v>
      </c>
      <c r="L767">
        <f>YEAR(Table1[[#This Row],[PurchaseDate]])</f>
        <v>2024</v>
      </c>
      <c r="M767" t="str">
        <f>IF(Table1[[#This Row],[TotalPrice]]&gt;2000,"High Sales","Low Sales")</f>
        <v>Low Sales</v>
      </c>
    </row>
    <row r="768" spans="1:13" x14ac:dyDescent="0.3">
      <c r="A768" t="s">
        <v>743</v>
      </c>
      <c r="B768" t="s">
        <v>1652</v>
      </c>
      <c r="C768" s="1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  <c r="K768" t="str">
        <f>TEXT(Table1[[#This Row],[PurchaseDate]],"mmm")</f>
        <v>Nov</v>
      </c>
      <c r="L768">
        <f>YEAR(Table1[[#This Row],[PurchaseDate]])</f>
        <v>2023</v>
      </c>
      <c r="M768" t="str">
        <f>IF(Table1[[#This Row],[TotalPrice]]&gt;2000,"High Sales","Low Sales")</f>
        <v>High Sales</v>
      </c>
    </row>
    <row r="769" spans="1:13" x14ac:dyDescent="0.3">
      <c r="A769" t="s">
        <v>744</v>
      </c>
      <c r="B769" t="s">
        <v>1656</v>
      </c>
      <c r="C769" s="1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  <c r="K769" t="str">
        <f>TEXT(Table1[[#This Row],[PurchaseDate]],"mmm")</f>
        <v>Nov</v>
      </c>
      <c r="L769">
        <f>YEAR(Table1[[#This Row],[PurchaseDate]])</f>
        <v>2023</v>
      </c>
      <c r="M769" t="str">
        <f>IF(Table1[[#This Row],[TotalPrice]]&gt;2000,"High Sales","Low Sales")</f>
        <v>High Sales</v>
      </c>
    </row>
    <row r="770" spans="1:13" x14ac:dyDescent="0.3">
      <c r="A770" t="s">
        <v>745</v>
      </c>
      <c r="B770" t="s">
        <v>1658</v>
      </c>
      <c r="C770" s="1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  <c r="K770" t="str">
        <f>TEXT(Table1[[#This Row],[PurchaseDate]],"mmm")</f>
        <v>Jan</v>
      </c>
      <c r="L770">
        <f>YEAR(Table1[[#This Row],[PurchaseDate]])</f>
        <v>2025</v>
      </c>
      <c r="M770" t="str">
        <f>IF(Table1[[#This Row],[TotalPrice]]&gt;2000,"High Sales","Low Sales")</f>
        <v>High Sales</v>
      </c>
    </row>
    <row r="771" spans="1:13" x14ac:dyDescent="0.3">
      <c r="A771" t="s">
        <v>746</v>
      </c>
      <c r="B771" t="s">
        <v>1656</v>
      </c>
      <c r="C771" s="1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  <c r="K771" t="str">
        <f>TEXT(Table1[[#This Row],[PurchaseDate]],"mmm")</f>
        <v>Jun</v>
      </c>
      <c r="L771">
        <f>YEAR(Table1[[#This Row],[PurchaseDate]])</f>
        <v>2025</v>
      </c>
      <c r="M771" t="str">
        <f>IF(Table1[[#This Row],[TotalPrice]]&gt;2000,"High Sales","Low Sales")</f>
        <v>Low Sales</v>
      </c>
    </row>
    <row r="772" spans="1:13" x14ac:dyDescent="0.3">
      <c r="A772" t="s">
        <v>747</v>
      </c>
      <c r="B772" t="s">
        <v>1658</v>
      </c>
      <c r="C772" s="1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  <c r="K772" t="str">
        <f>TEXT(Table1[[#This Row],[PurchaseDate]],"mmm")</f>
        <v>Oct</v>
      </c>
      <c r="L772">
        <f>YEAR(Table1[[#This Row],[PurchaseDate]])</f>
        <v>2024</v>
      </c>
      <c r="M772" t="str">
        <f>IF(Table1[[#This Row],[TotalPrice]]&gt;2000,"High Sales","Low Sales")</f>
        <v>High Sales</v>
      </c>
    </row>
    <row r="773" spans="1:13" x14ac:dyDescent="0.3">
      <c r="A773" t="s">
        <v>748</v>
      </c>
      <c r="B773" t="s">
        <v>1654</v>
      </c>
      <c r="C773" s="1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  <c r="K773" t="str">
        <f>TEXT(Table1[[#This Row],[PurchaseDate]],"mmm")</f>
        <v>Feb</v>
      </c>
      <c r="L773">
        <f>YEAR(Table1[[#This Row],[PurchaseDate]])</f>
        <v>2025</v>
      </c>
      <c r="M773" t="str">
        <f>IF(Table1[[#This Row],[TotalPrice]]&gt;2000,"High Sales","Low Sales")</f>
        <v>Low Sales</v>
      </c>
    </row>
    <row r="774" spans="1:13" x14ac:dyDescent="0.3">
      <c r="A774" t="s">
        <v>749</v>
      </c>
      <c r="B774" t="s">
        <v>1653</v>
      </c>
      <c r="C774" s="1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  <c r="K774" t="str">
        <f>TEXT(Table1[[#This Row],[PurchaseDate]],"mmm")</f>
        <v>Oct</v>
      </c>
      <c r="L774">
        <f>YEAR(Table1[[#This Row],[PurchaseDate]])</f>
        <v>2024</v>
      </c>
      <c r="M774" t="str">
        <f>IF(Table1[[#This Row],[TotalPrice]]&gt;2000,"High Sales","Low Sales")</f>
        <v>Low Sales</v>
      </c>
    </row>
    <row r="775" spans="1:13" x14ac:dyDescent="0.3">
      <c r="A775" t="s">
        <v>282</v>
      </c>
      <c r="B775" t="s">
        <v>1653</v>
      </c>
      <c r="C775" s="1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  <c r="K775" t="str">
        <f>TEXT(Table1[[#This Row],[PurchaseDate]],"mmm")</f>
        <v>Jun</v>
      </c>
      <c r="L775">
        <f>YEAR(Table1[[#This Row],[PurchaseDate]])</f>
        <v>2023</v>
      </c>
      <c r="M775" t="str">
        <f>IF(Table1[[#This Row],[TotalPrice]]&gt;2000,"High Sales","Low Sales")</f>
        <v>Low Sales</v>
      </c>
    </row>
    <row r="776" spans="1:13" x14ac:dyDescent="0.3">
      <c r="A776" t="s">
        <v>750</v>
      </c>
      <c r="B776" t="s">
        <v>1657</v>
      </c>
      <c r="C776" s="1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  <c r="K776" t="str">
        <f>TEXT(Table1[[#This Row],[PurchaseDate]],"mmm")</f>
        <v>Jan</v>
      </c>
      <c r="L776">
        <f>YEAR(Table1[[#This Row],[PurchaseDate]])</f>
        <v>2025</v>
      </c>
      <c r="M776" t="str">
        <f>IF(Table1[[#This Row],[TotalPrice]]&gt;2000,"High Sales","Low Sales")</f>
        <v>High Sales</v>
      </c>
    </row>
    <row r="777" spans="1:13" x14ac:dyDescent="0.3">
      <c r="A777" t="s">
        <v>751</v>
      </c>
      <c r="B777" t="s">
        <v>1654</v>
      </c>
      <c r="C777" s="1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  <c r="K777" t="str">
        <f>TEXT(Table1[[#This Row],[PurchaseDate]],"mmm")</f>
        <v>Jun</v>
      </c>
      <c r="L777">
        <f>YEAR(Table1[[#This Row],[PurchaseDate]])</f>
        <v>2025</v>
      </c>
      <c r="M777" t="str">
        <f>IF(Table1[[#This Row],[TotalPrice]]&gt;2000,"High Sales","Low Sales")</f>
        <v>High Sales</v>
      </c>
    </row>
    <row r="778" spans="1:13" x14ac:dyDescent="0.3">
      <c r="A778" t="s">
        <v>752</v>
      </c>
      <c r="B778" t="s">
        <v>1653</v>
      </c>
      <c r="C778" s="1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  <c r="K778" t="str">
        <f>TEXT(Table1[[#This Row],[PurchaseDate]],"mmm")</f>
        <v>Jun</v>
      </c>
      <c r="L778">
        <f>YEAR(Table1[[#This Row],[PurchaseDate]])</f>
        <v>2024</v>
      </c>
      <c r="M778" t="str">
        <f>IF(Table1[[#This Row],[TotalPrice]]&gt;2000,"High Sales","Low Sales")</f>
        <v>Low Sales</v>
      </c>
    </row>
    <row r="779" spans="1:13" x14ac:dyDescent="0.3">
      <c r="A779" t="s">
        <v>753</v>
      </c>
      <c r="B779" t="s">
        <v>1656</v>
      </c>
      <c r="C779" s="1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  <c r="K779" t="str">
        <f>TEXT(Table1[[#This Row],[PurchaseDate]],"mmm")</f>
        <v>Feb</v>
      </c>
      <c r="L779">
        <f>YEAR(Table1[[#This Row],[PurchaseDate]])</f>
        <v>2023</v>
      </c>
      <c r="M779" t="str">
        <f>IF(Table1[[#This Row],[TotalPrice]]&gt;2000,"High Sales","Low Sales")</f>
        <v>Low Sales</v>
      </c>
    </row>
    <row r="780" spans="1:13" x14ac:dyDescent="0.3">
      <c r="A780" t="s">
        <v>754</v>
      </c>
      <c r="B780" t="s">
        <v>1653</v>
      </c>
      <c r="C780" s="1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  <c r="K780" t="str">
        <f>TEXT(Table1[[#This Row],[PurchaseDate]],"mmm")</f>
        <v>Sep</v>
      </c>
      <c r="L780">
        <f>YEAR(Table1[[#This Row],[PurchaseDate]])</f>
        <v>2024</v>
      </c>
      <c r="M780" t="str">
        <f>IF(Table1[[#This Row],[TotalPrice]]&gt;2000,"High Sales","Low Sales")</f>
        <v>Low Sales</v>
      </c>
    </row>
    <row r="781" spans="1:13" x14ac:dyDescent="0.3">
      <c r="A781" t="s">
        <v>755</v>
      </c>
      <c r="B781" t="s">
        <v>1658</v>
      </c>
      <c r="C781" s="1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  <c r="K781" t="str">
        <f>TEXT(Table1[[#This Row],[PurchaseDate]],"mmm")</f>
        <v>Oct</v>
      </c>
      <c r="L781">
        <f>YEAR(Table1[[#This Row],[PurchaseDate]])</f>
        <v>2023</v>
      </c>
      <c r="M781" t="str">
        <f>IF(Table1[[#This Row],[TotalPrice]]&gt;2000,"High Sales","Low Sales")</f>
        <v>Low Sales</v>
      </c>
    </row>
    <row r="782" spans="1:13" x14ac:dyDescent="0.3">
      <c r="A782" t="s">
        <v>756</v>
      </c>
      <c r="B782" t="s">
        <v>1656</v>
      </c>
      <c r="C782" s="1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  <c r="K782" t="str">
        <f>TEXT(Table1[[#This Row],[PurchaseDate]],"mmm")</f>
        <v>Dec</v>
      </c>
      <c r="L782">
        <f>YEAR(Table1[[#This Row],[PurchaseDate]])</f>
        <v>2024</v>
      </c>
      <c r="M782" t="str">
        <f>IF(Table1[[#This Row],[TotalPrice]]&gt;2000,"High Sales","Low Sales")</f>
        <v>Low Sales</v>
      </c>
    </row>
    <row r="783" spans="1:13" x14ac:dyDescent="0.3">
      <c r="A783" t="s">
        <v>757</v>
      </c>
      <c r="B783" t="s">
        <v>1656</v>
      </c>
      <c r="C783" s="1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  <c r="K783" t="str">
        <f>TEXT(Table1[[#This Row],[PurchaseDate]],"mmm")</f>
        <v>Mar</v>
      </c>
      <c r="L783">
        <f>YEAR(Table1[[#This Row],[PurchaseDate]])</f>
        <v>2024</v>
      </c>
      <c r="M783" t="str">
        <f>IF(Table1[[#This Row],[TotalPrice]]&gt;2000,"High Sales","Low Sales")</f>
        <v>Low Sales</v>
      </c>
    </row>
    <row r="784" spans="1:13" x14ac:dyDescent="0.3">
      <c r="A784" t="s">
        <v>758</v>
      </c>
      <c r="B784" t="s">
        <v>1655</v>
      </c>
      <c r="C784" s="1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  <c r="K784" t="str">
        <f>TEXT(Table1[[#This Row],[PurchaseDate]],"mmm")</f>
        <v>Jan</v>
      </c>
      <c r="L784">
        <f>YEAR(Table1[[#This Row],[PurchaseDate]])</f>
        <v>2023</v>
      </c>
      <c r="M784" t="str">
        <f>IF(Table1[[#This Row],[TotalPrice]]&gt;2000,"High Sales","Low Sales")</f>
        <v>Low Sales</v>
      </c>
    </row>
    <row r="785" spans="1:13" x14ac:dyDescent="0.3">
      <c r="A785" t="s">
        <v>759</v>
      </c>
      <c r="B785" t="s">
        <v>1656</v>
      </c>
      <c r="C785" s="1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  <c r="K785" t="str">
        <f>TEXT(Table1[[#This Row],[PurchaseDate]],"mmm")</f>
        <v>Jul</v>
      </c>
      <c r="L785">
        <f>YEAR(Table1[[#This Row],[PurchaseDate]])</f>
        <v>2024</v>
      </c>
      <c r="M785" t="str">
        <f>IF(Table1[[#This Row],[TotalPrice]]&gt;2000,"High Sales","Low Sales")</f>
        <v>Low Sales</v>
      </c>
    </row>
    <row r="786" spans="1:13" x14ac:dyDescent="0.3">
      <c r="A786" t="s">
        <v>760</v>
      </c>
      <c r="B786" t="s">
        <v>1657</v>
      </c>
      <c r="C786" s="1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  <c r="K786" t="str">
        <f>TEXT(Table1[[#This Row],[PurchaseDate]],"mmm")</f>
        <v>Jul</v>
      </c>
      <c r="L786">
        <f>YEAR(Table1[[#This Row],[PurchaseDate]])</f>
        <v>2023</v>
      </c>
      <c r="M786" t="str">
        <f>IF(Table1[[#This Row],[TotalPrice]]&gt;2000,"High Sales","Low Sales")</f>
        <v>Low Sales</v>
      </c>
    </row>
    <row r="787" spans="1:13" x14ac:dyDescent="0.3">
      <c r="A787" t="s">
        <v>761</v>
      </c>
      <c r="B787" t="s">
        <v>1657</v>
      </c>
      <c r="C787" s="1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  <c r="K787" t="str">
        <f>TEXT(Table1[[#This Row],[PurchaseDate]],"mmm")</f>
        <v>Aug</v>
      </c>
      <c r="L787">
        <f>YEAR(Table1[[#This Row],[PurchaseDate]])</f>
        <v>2023</v>
      </c>
      <c r="M787" t="str">
        <f>IF(Table1[[#This Row],[TotalPrice]]&gt;2000,"High Sales","Low Sales")</f>
        <v>Low Sales</v>
      </c>
    </row>
    <row r="788" spans="1:13" x14ac:dyDescent="0.3">
      <c r="A788" t="s">
        <v>647</v>
      </c>
      <c r="B788" t="s">
        <v>1658</v>
      </c>
      <c r="C788" s="1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  <c r="K788" t="str">
        <f>TEXT(Table1[[#This Row],[PurchaseDate]],"mmm")</f>
        <v>May</v>
      </c>
      <c r="L788">
        <f>YEAR(Table1[[#This Row],[PurchaseDate]])</f>
        <v>2023</v>
      </c>
      <c r="M788" t="str">
        <f>IF(Table1[[#This Row],[TotalPrice]]&gt;2000,"High Sales","Low Sales")</f>
        <v>Low Sales</v>
      </c>
    </row>
    <row r="789" spans="1:13" x14ac:dyDescent="0.3">
      <c r="A789" t="s">
        <v>762</v>
      </c>
      <c r="B789" t="s">
        <v>1656</v>
      </c>
      <c r="C789" s="1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  <c r="K789" t="str">
        <f>TEXT(Table1[[#This Row],[PurchaseDate]],"mmm")</f>
        <v>Feb</v>
      </c>
      <c r="L789">
        <f>YEAR(Table1[[#This Row],[PurchaseDate]])</f>
        <v>2023</v>
      </c>
      <c r="M789" t="str">
        <f>IF(Table1[[#This Row],[TotalPrice]]&gt;2000,"High Sales","Low Sales")</f>
        <v>Low Sales</v>
      </c>
    </row>
    <row r="790" spans="1:13" x14ac:dyDescent="0.3">
      <c r="A790" t="s">
        <v>763</v>
      </c>
      <c r="B790" t="s">
        <v>1655</v>
      </c>
      <c r="C790" s="1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  <c r="K790" t="str">
        <f>TEXT(Table1[[#This Row],[PurchaseDate]],"mmm")</f>
        <v>Aug</v>
      </c>
      <c r="L790">
        <f>YEAR(Table1[[#This Row],[PurchaseDate]])</f>
        <v>2023</v>
      </c>
      <c r="M790" t="str">
        <f>IF(Table1[[#This Row],[TotalPrice]]&gt;2000,"High Sales","Low Sales")</f>
        <v>High Sales</v>
      </c>
    </row>
    <row r="791" spans="1:13" x14ac:dyDescent="0.3">
      <c r="A791" t="s">
        <v>764</v>
      </c>
      <c r="B791" t="s">
        <v>1655</v>
      </c>
      <c r="C791" s="1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  <c r="K791" t="str">
        <f>TEXT(Table1[[#This Row],[PurchaseDate]],"mmm")</f>
        <v>Dec</v>
      </c>
      <c r="L791">
        <f>YEAR(Table1[[#This Row],[PurchaseDate]])</f>
        <v>2023</v>
      </c>
      <c r="M791" t="str">
        <f>IF(Table1[[#This Row],[TotalPrice]]&gt;2000,"High Sales","Low Sales")</f>
        <v>High Sales</v>
      </c>
    </row>
    <row r="792" spans="1:13" x14ac:dyDescent="0.3">
      <c r="A792" t="s">
        <v>765</v>
      </c>
      <c r="B792" t="s">
        <v>1658</v>
      </c>
      <c r="C792" s="1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  <c r="K792" t="str">
        <f>TEXT(Table1[[#This Row],[PurchaseDate]],"mmm")</f>
        <v>Jul</v>
      </c>
      <c r="L792">
        <f>YEAR(Table1[[#This Row],[PurchaseDate]])</f>
        <v>2024</v>
      </c>
      <c r="M792" t="str">
        <f>IF(Table1[[#This Row],[TotalPrice]]&gt;2000,"High Sales","Low Sales")</f>
        <v>High Sales</v>
      </c>
    </row>
    <row r="793" spans="1:13" x14ac:dyDescent="0.3">
      <c r="A793" t="s">
        <v>766</v>
      </c>
      <c r="B793" t="s">
        <v>1656</v>
      </c>
      <c r="C793" s="1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  <c r="K793" t="str">
        <f>TEXT(Table1[[#This Row],[PurchaseDate]],"mmm")</f>
        <v>Feb</v>
      </c>
      <c r="L793">
        <f>YEAR(Table1[[#This Row],[PurchaseDate]])</f>
        <v>2025</v>
      </c>
      <c r="M793" t="str">
        <f>IF(Table1[[#This Row],[TotalPrice]]&gt;2000,"High Sales","Low Sales")</f>
        <v>High Sales</v>
      </c>
    </row>
    <row r="794" spans="1:13" x14ac:dyDescent="0.3">
      <c r="A794" t="s">
        <v>767</v>
      </c>
      <c r="B794" t="s">
        <v>1655</v>
      </c>
      <c r="C794" s="1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  <c r="K794" t="str">
        <f>TEXT(Table1[[#This Row],[PurchaseDate]],"mmm")</f>
        <v>Dec</v>
      </c>
      <c r="L794">
        <f>YEAR(Table1[[#This Row],[PurchaseDate]])</f>
        <v>2023</v>
      </c>
      <c r="M794" t="str">
        <f>IF(Table1[[#This Row],[TotalPrice]]&gt;2000,"High Sales","Low Sales")</f>
        <v>High Sales</v>
      </c>
    </row>
    <row r="795" spans="1:13" x14ac:dyDescent="0.3">
      <c r="A795" t="s">
        <v>768</v>
      </c>
      <c r="B795" t="s">
        <v>1654</v>
      </c>
      <c r="C795" s="1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  <c r="K795" t="str">
        <f>TEXT(Table1[[#This Row],[PurchaseDate]],"mmm")</f>
        <v>Nov</v>
      </c>
      <c r="L795">
        <f>YEAR(Table1[[#This Row],[PurchaseDate]])</f>
        <v>2023</v>
      </c>
      <c r="M795" t="str">
        <f>IF(Table1[[#This Row],[TotalPrice]]&gt;2000,"High Sales","Low Sales")</f>
        <v>Low Sales</v>
      </c>
    </row>
    <row r="796" spans="1:13" x14ac:dyDescent="0.3">
      <c r="A796" t="s">
        <v>769</v>
      </c>
      <c r="B796" t="s">
        <v>1652</v>
      </c>
      <c r="C796" s="1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  <c r="K796" t="str">
        <f>TEXT(Table1[[#This Row],[PurchaseDate]],"mmm")</f>
        <v>May</v>
      </c>
      <c r="L796">
        <f>YEAR(Table1[[#This Row],[PurchaseDate]])</f>
        <v>2025</v>
      </c>
      <c r="M796" t="str">
        <f>IF(Table1[[#This Row],[TotalPrice]]&gt;2000,"High Sales","Low Sales")</f>
        <v>Low Sales</v>
      </c>
    </row>
    <row r="797" spans="1:13" x14ac:dyDescent="0.3">
      <c r="A797" t="s">
        <v>770</v>
      </c>
      <c r="B797" t="s">
        <v>1658</v>
      </c>
      <c r="C797" s="1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  <c r="K797" t="str">
        <f>TEXT(Table1[[#This Row],[PurchaseDate]],"mmm")</f>
        <v>Sep</v>
      </c>
      <c r="L797">
        <f>YEAR(Table1[[#This Row],[PurchaseDate]])</f>
        <v>2023</v>
      </c>
      <c r="M797" t="str">
        <f>IF(Table1[[#This Row],[TotalPrice]]&gt;2000,"High Sales","Low Sales")</f>
        <v>High Sales</v>
      </c>
    </row>
    <row r="798" spans="1:13" x14ac:dyDescent="0.3">
      <c r="A798" t="s">
        <v>771</v>
      </c>
      <c r="B798" t="s">
        <v>1655</v>
      </c>
      <c r="C798" s="1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  <c r="K798" t="str">
        <f>TEXT(Table1[[#This Row],[PurchaseDate]],"mmm")</f>
        <v>May</v>
      </c>
      <c r="L798">
        <f>YEAR(Table1[[#This Row],[PurchaseDate]])</f>
        <v>2024</v>
      </c>
      <c r="M798" t="str">
        <f>IF(Table1[[#This Row],[TotalPrice]]&gt;2000,"High Sales","Low Sales")</f>
        <v>Low Sales</v>
      </c>
    </row>
    <row r="799" spans="1:13" x14ac:dyDescent="0.3">
      <c r="A799" t="s">
        <v>772</v>
      </c>
      <c r="B799" t="s">
        <v>1652</v>
      </c>
      <c r="C799" s="1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  <c r="K799" t="str">
        <f>TEXT(Table1[[#This Row],[PurchaseDate]],"mmm")</f>
        <v>Feb</v>
      </c>
      <c r="L799">
        <f>YEAR(Table1[[#This Row],[PurchaseDate]])</f>
        <v>2023</v>
      </c>
      <c r="M799" t="str">
        <f>IF(Table1[[#This Row],[TotalPrice]]&gt;2000,"High Sales","Low Sales")</f>
        <v>High Sales</v>
      </c>
    </row>
    <row r="800" spans="1:13" x14ac:dyDescent="0.3">
      <c r="A800" t="s">
        <v>773</v>
      </c>
      <c r="B800" t="s">
        <v>1656</v>
      </c>
      <c r="C800" s="1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  <c r="K800" t="str">
        <f>TEXT(Table1[[#This Row],[PurchaseDate]],"mmm")</f>
        <v>Oct</v>
      </c>
      <c r="L800">
        <f>YEAR(Table1[[#This Row],[PurchaseDate]])</f>
        <v>2024</v>
      </c>
      <c r="M800" t="str">
        <f>IF(Table1[[#This Row],[TotalPrice]]&gt;2000,"High Sales","Low Sales")</f>
        <v>Low Sales</v>
      </c>
    </row>
    <row r="801" spans="1:13" x14ac:dyDescent="0.3">
      <c r="A801" t="s">
        <v>774</v>
      </c>
      <c r="B801" t="s">
        <v>1653</v>
      </c>
      <c r="C801" s="1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  <c r="K801" t="str">
        <f>TEXT(Table1[[#This Row],[PurchaseDate]],"mmm")</f>
        <v>Apr</v>
      </c>
      <c r="L801">
        <f>YEAR(Table1[[#This Row],[PurchaseDate]])</f>
        <v>2024</v>
      </c>
      <c r="M801" t="str">
        <f>IF(Table1[[#This Row],[TotalPrice]]&gt;2000,"High Sales","Low Sales")</f>
        <v>Low Sales</v>
      </c>
    </row>
    <row r="802" spans="1:13" x14ac:dyDescent="0.3">
      <c r="A802" t="s">
        <v>775</v>
      </c>
      <c r="B802" t="s">
        <v>1653</v>
      </c>
      <c r="C802" s="1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  <c r="K802" t="str">
        <f>TEXT(Table1[[#This Row],[PurchaseDate]],"mmm")</f>
        <v>Dec</v>
      </c>
      <c r="L802">
        <f>YEAR(Table1[[#This Row],[PurchaseDate]])</f>
        <v>2024</v>
      </c>
      <c r="M802" t="str">
        <f>IF(Table1[[#This Row],[TotalPrice]]&gt;2000,"High Sales","Low Sales")</f>
        <v>High Sales</v>
      </c>
    </row>
    <row r="803" spans="1:13" x14ac:dyDescent="0.3">
      <c r="A803" t="s">
        <v>776</v>
      </c>
      <c r="B803" t="s">
        <v>1658</v>
      </c>
      <c r="C803" s="1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  <c r="K803" t="str">
        <f>TEXT(Table1[[#This Row],[PurchaseDate]],"mmm")</f>
        <v>Aug</v>
      </c>
      <c r="L803">
        <f>YEAR(Table1[[#This Row],[PurchaseDate]])</f>
        <v>2024</v>
      </c>
      <c r="M803" t="str">
        <f>IF(Table1[[#This Row],[TotalPrice]]&gt;2000,"High Sales","Low Sales")</f>
        <v>Low Sales</v>
      </c>
    </row>
    <row r="804" spans="1:13" x14ac:dyDescent="0.3">
      <c r="A804" t="s">
        <v>282</v>
      </c>
      <c r="B804" t="s">
        <v>1656</v>
      </c>
      <c r="C804" s="1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  <c r="K804" t="str">
        <f>TEXT(Table1[[#This Row],[PurchaseDate]],"mmm")</f>
        <v>Jan</v>
      </c>
      <c r="L804">
        <f>YEAR(Table1[[#This Row],[PurchaseDate]])</f>
        <v>2023</v>
      </c>
      <c r="M804" t="str">
        <f>IF(Table1[[#This Row],[TotalPrice]]&gt;2000,"High Sales","Low Sales")</f>
        <v>High Sales</v>
      </c>
    </row>
    <row r="805" spans="1:13" x14ac:dyDescent="0.3">
      <c r="A805" t="s">
        <v>777</v>
      </c>
      <c r="B805" t="s">
        <v>1652</v>
      </c>
      <c r="C805" s="1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  <c r="K805" t="str">
        <f>TEXT(Table1[[#This Row],[PurchaseDate]],"mmm")</f>
        <v>Jun</v>
      </c>
      <c r="L805">
        <f>YEAR(Table1[[#This Row],[PurchaseDate]])</f>
        <v>2024</v>
      </c>
      <c r="M805" t="str">
        <f>IF(Table1[[#This Row],[TotalPrice]]&gt;2000,"High Sales","Low Sales")</f>
        <v>High Sales</v>
      </c>
    </row>
    <row r="806" spans="1:13" x14ac:dyDescent="0.3">
      <c r="A806" t="s">
        <v>778</v>
      </c>
      <c r="B806" t="s">
        <v>1653</v>
      </c>
      <c r="C806" s="1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  <c r="K806" t="str">
        <f>TEXT(Table1[[#This Row],[PurchaseDate]],"mmm")</f>
        <v>Nov</v>
      </c>
      <c r="L806">
        <f>YEAR(Table1[[#This Row],[PurchaseDate]])</f>
        <v>2024</v>
      </c>
      <c r="M806" t="str">
        <f>IF(Table1[[#This Row],[TotalPrice]]&gt;2000,"High Sales","Low Sales")</f>
        <v>Low Sales</v>
      </c>
    </row>
    <row r="807" spans="1:13" x14ac:dyDescent="0.3">
      <c r="A807" t="s">
        <v>779</v>
      </c>
      <c r="B807" t="s">
        <v>1654</v>
      </c>
      <c r="C807" s="1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  <c r="K807" t="str">
        <f>TEXT(Table1[[#This Row],[PurchaseDate]],"mmm")</f>
        <v>Sep</v>
      </c>
      <c r="L807">
        <f>YEAR(Table1[[#This Row],[PurchaseDate]])</f>
        <v>2024</v>
      </c>
      <c r="M807" t="str">
        <f>IF(Table1[[#This Row],[TotalPrice]]&gt;2000,"High Sales","Low Sales")</f>
        <v>Low Sales</v>
      </c>
    </row>
    <row r="808" spans="1:13" x14ac:dyDescent="0.3">
      <c r="A808" t="s">
        <v>780</v>
      </c>
      <c r="B808" t="s">
        <v>1654</v>
      </c>
      <c r="C808" s="1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  <c r="K808" t="str">
        <f>TEXT(Table1[[#This Row],[PurchaseDate]],"mmm")</f>
        <v>Jan</v>
      </c>
      <c r="L808">
        <f>YEAR(Table1[[#This Row],[PurchaseDate]])</f>
        <v>2025</v>
      </c>
      <c r="M808" t="str">
        <f>IF(Table1[[#This Row],[TotalPrice]]&gt;2000,"High Sales","Low Sales")</f>
        <v>Low Sales</v>
      </c>
    </row>
    <row r="809" spans="1:13" x14ac:dyDescent="0.3">
      <c r="A809" t="s">
        <v>781</v>
      </c>
      <c r="B809" t="s">
        <v>1657</v>
      </c>
      <c r="C809" s="1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  <c r="K809" t="str">
        <f>TEXT(Table1[[#This Row],[PurchaseDate]],"mmm")</f>
        <v>Mar</v>
      </c>
      <c r="L809">
        <f>YEAR(Table1[[#This Row],[PurchaseDate]])</f>
        <v>2025</v>
      </c>
      <c r="M809" t="str">
        <f>IF(Table1[[#This Row],[TotalPrice]]&gt;2000,"High Sales","Low Sales")</f>
        <v>Low Sales</v>
      </c>
    </row>
    <row r="810" spans="1:13" x14ac:dyDescent="0.3">
      <c r="A810" t="s">
        <v>782</v>
      </c>
      <c r="B810" t="s">
        <v>1656</v>
      </c>
      <c r="C810" s="1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  <c r="K810" t="str">
        <f>TEXT(Table1[[#This Row],[PurchaseDate]],"mmm")</f>
        <v>May</v>
      </c>
      <c r="L810">
        <f>YEAR(Table1[[#This Row],[PurchaseDate]])</f>
        <v>2023</v>
      </c>
      <c r="M810" t="str">
        <f>IF(Table1[[#This Row],[TotalPrice]]&gt;2000,"High Sales","Low Sales")</f>
        <v>Low Sales</v>
      </c>
    </row>
    <row r="811" spans="1:13" x14ac:dyDescent="0.3">
      <c r="A811" t="s">
        <v>133</v>
      </c>
      <c r="B811" t="s">
        <v>1658</v>
      </c>
      <c r="C811" s="1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  <c r="K811" t="str">
        <f>TEXT(Table1[[#This Row],[PurchaseDate]],"mmm")</f>
        <v>Jun</v>
      </c>
      <c r="L811">
        <f>YEAR(Table1[[#This Row],[PurchaseDate]])</f>
        <v>2023</v>
      </c>
      <c r="M811" t="str">
        <f>IF(Table1[[#This Row],[TotalPrice]]&gt;2000,"High Sales","Low Sales")</f>
        <v>Low Sales</v>
      </c>
    </row>
    <row r="812" spans="1:13" x14ac:dyDescent="0.3">
      <c r="A812" t="s">
        <v>783</v>
      </c>
      <c r="B812" t="s">
        <v>1655</v>
      </c>
      <c r="C812" s="1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  <c r="K812" t="str">
        <f>TEXT(Table1[[#This Row],[PurchaseDate]],"mmm")</f>
        <v>Aug</v>
      </c>
      <c r="L812">
        <f>YEAR(Table1[[#This Row],[PurchaseDate]])</f>
        <v>2023</v>
      </c>
      <c r="M812" t="str">
        <f>IF(Table1[[#This Row],[TotalPrice]]&gt;2000,"High Sales","Low Sales")</f>
        <v>High Sales</v>
      </c>
    </row>
    <row r="813" spans="1:13" x14ac:dyDescent="0.3">
      <c r="A813" t="s">
        <v>784</v>
      </c>
      <c r="B813" t="s">
        <v>1655</v>
      </c>
      <c r="C813" s="1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  <c r="K813" t="str">
        <f>TEXT(Table1[[#This Row],[PurchaseDate]],"mmm")</f>
        <v>May</v>
      </c>
      <c r="L813">
        <f>YEAR(Table1[[#This Row],[PurchaseDate]])</f>
        <v>2025</v>
      </c>
      <c r="M813" t="str">
        <f>IF(Table1[[#This Row],[TotalPrice]]&gt;2000,"High Sales","Low Sales")</f>
        <v>High Sales</v>
      </c>
    </row>
    <row r="814" spans="1:13" x14ac:dyDescent="0.3">
      <c r="A814" t="s">
        <v>785</v>
      </c>
      <c r="B814" t="s">
        <v>1656</v>
      </c>
      <c r="C814" s="1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  <c r="K814" t="str">
        <f>TEXT(Table1[[#This Row],[PurchaseDate]],"mmm")</f>
        <v>Jul</v>
      </c>
      <c r="L814">
        <f>YEAR(Table1[[#This Row],[PurchaseDate]])</f>
        <v>2024</v>
      </c>
      <c r="M814" t="str">
        <f>IF(Table1[[#This Row],[TotalPrice]]&gt;2000,"High Sales","Low Sales")</f>
        <v>Low Sales</v>
      </c>
    </row>
    <row r="815" spans="1:13" x14ac:dyDescent="0.3">
      <c r="A815" t="s">
        <v>786</v>
      </c>
      <c r="B815" t="s">
        <v>1657</v>
      </c>
      <c r="C815" s="1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  <c r="K815" t="str">
        <f>TEXT(Table1[[#This Row],[PurchaseDate]],"mmm")</f>
        <v>Feb</v>
      </c>
      <c r="L815">
        <f>YEAR(Table1[[#This Row],[PurchaseDate]])</f>
        <v>2024</v>
      </c>
      <c r="M815" t="str">
        <f>IF(Table1[[#This Row],[TotalPrice]]&gt;2000,"High Sales","Low Sales")</f>
        <v>High Sales</v>
      </c>
    </row>
    <row r="816" spans="1:13" x14ac:dyDescent="0.3">
      <c r="A816" t="s">
        <v>248</v>
      </c>
      <c r="B816" t="s">
        <v>1657</v>
      </c>
      <c r="C816" s="1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  <c r="K816" t="str">
        <f>TEXT(Table1[[#This Row],[PurchaseDate]],"mmm")</f>
        <v>Feb</v>
      </c>
      <c r="L816">
        <f>YEAR(Table1[[#This Row],[PurchaseDate]])</f>
        <v>2023</v>
      </c>
      <c r="M816" t="str">
        <f>IF(Table1[[#This Row],[TotalPrice]]&gt;2000,"High Sales","Low Sales")</f>
        <v>Low Sales</v>
      </c>
    </row>
    <row r="817" spans="1:13" x14ac:dyDescent="0.3">
      <c r="A817" t="s">
        <v>787</v>
      </c>
      <c r="B817" t="s">
        <v>1653</v>
      </c>
      <c r="C817" s="1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  <c r="K817" t="str">
        <f>TEXT(Table1[[#This Row],[PurchaseDate]],"mmm")</f>
        <v>Aug</v>
      </c>
      <c r="L817">
        <f>YEAR(Table1[[#This Row],[PurchaseDate]])</f>
        <v>2024</v>
      </c>
      <c r="M817" t="str">
        <f>IF(Table1[[#This Row],[TotalPrice]]&gt;2000,"High Sales","Low Sales")</f>
        <v>High Sales</v>
      </c>
    </row>
    <row r="818" spans="1:13" x14ac:dyDescent="0.3">
      <c r="A818" t="s">
        <v>788</v>
      </c>
      <c r="B818" t="s">
        <v>1653</v>
      </c>
      <c r="C818" s="1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  <c r="K818" t="str">
        <f>TEXT(Table1[[#This Row],[PurchaseDate]],"mmm")</f>
        <v>Dec</v>
      </c>
      <c r="L818">
        <f>YEAR(Table1[[#This Row],[PurchaseDate]])</f>
        <v>2024</v>
      </c>
      <c r="M818" t="str">
        <f>IF(Table1[[#This Row],[TotalPrice]]&gt;2000,"High Sales","Low Sales")</f>
        <v>Low Sales</v>
      </c>
    </row>
    <row r="819" spans="1:13" x14ac:dyDescent="0.3">
      <c r="A819" t="s">
        <v>789</v>
      </c>
      <c r="B819" t="s">
        <v>1658</v>
      </c>
      <c r="C819" s="1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  <c r="K819" t="str">
        <f>TEXT(Table1[[#This Row],[PurchaseDate]],"mmm")</f>
        <v>Mar</v>
      </c>
      <c r="L819">
        <f>YEAR(Table1[[#This Row],[PurchaseDate]])</f>
        <v>2023</v>
      </c>
      <c r="M819" t="str">
        <f>IF(Table1[[#This Row],[TotalPrice]]&gt;2000,"High Sales","Low Sales")</f>
        <v>Low Sales</v>
      </c>
    </row>
    <row r="820" spans="1:13" x14ac:dyDescent="0.3">
      <c r="A820" t="s">
        <v>790</v>
      </c>
      <c r="B820" t="s">
        <v>1652</v>
      </c>
      <c r="C820" s="1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  <c r="K820" t="str">
        <f>TEXT(Table1[[#This Row],[PurchaseDate]],"mmm")</f>
        <v>Oct</v>
      </c>
      <c r="L820">
        <f>YEAR(Table1[[#This Row],[PurchaseDate]])</f>
        <v>2023</v>
      </c>
      <c r="M820" t="str">
        <f>IF(Table1[[#This Row],[TotalPrice]]&gt;2000,"High Sales","Low Sales")</f>
        <v>Low Sales</v>
      </c>
    </row>
    <row r="821" spans="1:13" x14ac:dyDescent="0.3">
      <c r="A821" t="s">
        <v>791</v>
      </c>
      <c r="B821" t="s">
        <v>1656</v>
      </c>
      <c r="C821" s="1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  <c r="K821" t="str">
        <f>TEXT(Table1[[#This Row],[PurchaseDate]],"mmm")</f>
        <v>Nov</v>
      </c>
      <c r="L821">
        <f>YEAR(Table1[[#This Row],[PurchaseDate]])</f>
        <v>2024</v>
      </c>
      <c r="M821" t="str">
        <f>IF(Table1[[#This Row],[TotalPrice]]&gt;2000,"High Sales","Low Sales")</f>
        <v>Low Sales</v>
      </c>
    </row>
    <row r="822" spans="1:13" x14ac:dyDescent="0.3">
      <c r="A822" t="s">
        <v>792</v>
      </c>
      <c r="B822" t="s">
        <v>1655</v>
      </c>
      <c r="C822" s="1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  <c r="K822" t="str">
        <f>TEXT(Table1[[#This Row],[PurchaseDate]],"mmm")</f>
        <v>Apr</v>
      </c>
      <c r="L822">
        <f>YEAR(Table1[[#This Row],[PurchaseDate]])</f>
        <v>2025</v>
      </c>
      <c r="M822" t="str">
        <f>IF(Table1[[#This Row],[TotalPrice]]&gt;2000,"High Sales","Low Sales")</f>
        <v>High Sales</v>
      </c>
    </row>
    <row r="823" spans="1:13" x14ac:dyDescent="0.3">
      <c r="A823" t="s">
        <v>793</v>
      </c>
      <c r="B823" t="s">
        <v>1653</v>
      </c>
      <c r="C823" s="1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  <c r="K823" t="str">
        <f>TEXT(Table1[[#This Row],[PurchaseDate]],"mmm")</f>
        <v>Feb</v>
      </c>
      <c r="L823">
        <f>YEAR(Table1[[#This Row],[PurchaseDate]])</f>
        <v>2023</v>
      </c>
      <c r="M823" t="str">
        <f>IF(Table1[[#This Row],[TotalPrice]]&gt;2000,"High Sales","Low Sales")</f>
        <v>High Sales</v>
      </c>
    </row>
    <row r="824" spans="1:13" x14ac:dyDescent="0.3">
      <c r="A824" t="s">
        <v>794</v>
      </c>
      <c r="B824" t="s">
        <v>1655</v>
      </c>
      <c r="C824" s="1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  <c r="K824" t="str">
        <f>TEXT(Table1[[#This Row],[PurchaseDate]],"mmm")</f>
        <v>Dec</v>
      </c>
      <c r="L824">
        <f>YEAR(Table1[[#This Row],[PurchaseDate]])</f>
        <v>2023</v>
      </c>
      <c r="M824" t="str">
        <f>IF(Table1[[#This Row],[TotalPrice]]&gt;2000,"High Sales","Low Sales")</f>
        <v>Low Sales</v>
      </c>
    </row>
    <row r="825" spans="1:13" x14ac:dyDescent="0.3">
      <c r="A825" t="s">
        <v>795</v>
      </c>
      <c r="B825" t="s">
        <v>1655</v>
      </c>
      <c r="C825" s="1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  <c r="K825" t="str">
        <f>TEXT(Table1[[#This Row],[PurchaseDate]],"mmm")</f>
        <v>Oct</v>
      </c>
      <c r="L825">
        <f>YEAR(Table1[[#This Row],[PurchaseDate]])</f>
        <v>2023</v>
      </c>
      <c r="M825" t="str">
        <f>IF(Table1[[#This Row],[TotalPrice]]&gt;2000,"High Sales","Low Sales")</f>
        <v>High Sales</v>
      </c>
    </row>
    <row r="826" spans="1:13" x14ac:dyDescent="0.3">
      <c r="A826" t="s">
        <v>796</v>
      </c>
      <c r="B826" t="s">
        <v>1656</v>
      </c>
      <c r="C826" s="1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  <c r="K826" t="str">
        <f>TEXT(Table1[[#This Row],[PurchaseDate]],"mmm")</f>
        <v>Dec</v>
      </c>
      <c r="L826">
        <f>YEAR(Table1[[#This Row],[PurchaseDate]])</f>
        <v>2023</v>
      </c>
      <c r="M826" t="str">
        <f>IF(Table1[[#This Row],[TotalPrice]]&gt;2000,"High Sales","Low Sales")</f>
        <v>Low Sales</v>
      </c>
    </row>
    <row r="827" spans="1:13" x14ac:dyDescent="0.3">
      <c r="A827" t="s">
        <v>797</v>
      </c>
      <c r="B827" t="s">
        <v>1656</v>
      </c>
      <c r="C827" s="1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  <c r="K827" t="str">
        <f>TEXT(Table1[[#This Row],[PurchaseDate]],"mmm")</f>
        <v>Apr</v>
      </c>
      <c r="L827">
        <f>YEAR(Table1[[#This Row],[PurchaseDate]])</f>
        <v>2024</v>
      </c>
      <c r="M827" t="str">
        <f>IF(Table1[[#This Row],[TotalPrice]]&gt;2000,"High Sales","Low Sales")</f>
        <v>Low Sales</v>
      </c>
    </row>
    <row r="828" spans="1:13" x14ac:dyDescent="0.3">
      <c r="A828" t="s">
        <v>798</v>
      </c>
      <c r="B828" t="s">
        <v>1654</v>
      </c>
      <c r="C828" s="1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  <c r="K828" t="str">
        <f>TEXT(Table1[[#This Row],[PurchaseDate]],"mmm")</f>
        <v>May</v>
      </c>
      <c r="L828">
        <f>YEAR(Table1[[#This Row],[PurchaseDate]])</f>
        <v>2025</v>
      </c>
      <c r="M828" t="str">
        <f>IF(Table1[[#This Row],[TotalPrice]]&gt;2000,"High Sales","Low Sales")</f>
        <v>High Sales</v>
      </c>
    </row>
    <row r="829" spans="1:13" x14ac:dyDescent="0.3">
      <c r="A829" t="s">
        <v>799</v>
      </c>
      <c r="B829" t="s">
        <v>1653</v>
      </c>
      <c r="C829" s="1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  <c r="K829" t="str">
        <f>TEXT(Table1[[#This Row],[PurchaseDate]],"mmm")</f>
        <v>May</v>
      </c>
      <c r="L829">
        <f>YEAR(Table1[[#This Row],[PurchaseDate]])</f>
        <v>2025</v>
      </c>
      <c r="M829" t="str">
        <f>IF(Table1[[#This Row],[TotalPrice]]&gt;2000,"High Sales","Low Sales")</f>
        <v>High Sales</v>
      </c>
    </row>
    <row r="830" spans="1:13" x14ac:dyDescent="0.3">
      <c r="A830" t="s">
        <v>800</v>
      </c>
      <c r="B830" t="s">
        <v>1658</v>
      </c>
      <c r="C830" s="1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  <c r="K830" t="str">
        <f>TEXT(Table1[[#This Row],[PurchaseDate]],"mmm")</f>
        <v>Mar</v>
      </c>
      <c r="L830">
        <f>YEAR(Table1[[#This Row],[PurchaseDate]])</f>
        <v>2025</v>
      </c>
      <c r="M830" t="str">
        <f>IF(Table1[[#This Row],[TotalPrice]]&gt;2000,"High Sales","Low Sales")</f>
        <v>Low Sales</v>
      </c>
    </row>
    <row r="831" spans="1:13" x14ac:dyDescent="0.3">
      <c r="A831" t="s">
        <v>801</v>
      </c>
      <c r="B831" t="s">
        <v>1658</v>
      </c>
      <c r="C831" s="1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  <c r="K831" t="str">
        <f>TEXT(Table1[[#This Row],[PurchaseDate]],"mmm")</f>
        <v>Jun</v>
      </c>
      <c r="L831">
        <f>YEAR(Table1[[#This Row],[PurchaseDate]])</f>
        <v>2025</v>
      </c>
      <c r="M831" t="str">
        <f>IF(Table1[[#This Row],[TotalPrice]]&gt;2000,"High Sales","Low Sales")</f>
        <v>Low Sales</v>
      </c>
    </row>
    <row r="832" spans="1:13" x14ac:dyDescent="0.3">
      <c r="A832" t="s">
        <v>802</v>
      </c>
      <c r="B832" t="s">
        <v>1653</v>
      </c>
      <c r="C832" s="1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  <c r="K832" t="str">
        <f>TEXT(Table1[[#This Row],[PurchaseDate]],"mmm")</f>
        <v>Nov</v>
      </c>
      <c r="L832">
        <f>YEAR(Table1[[#This Row],[PurchaseDate]])</f>
        <v>2024</v>
      </c>
      <c r="M832" t="str">
        <f>IF(Table1[[#This Row],[TotalPrice]]&gt;2000,"High Sales","Low Sales")</f>
        <v>Low Sales</v>
      </c>
    </row>
    <row r="833" spans="1:13" x14ac:dyDescent="0.3">
      <c r="A833" t="s">
        <v>803</v>
      </c>
      <c r="B833" t="s">
        <v>1657</v>
      </c>
      <c r="C833" s="1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  <c r="K833" t="str">
        <f>TEXT(Table1[[#This Row],[PurchaseDate]],"mmm")</f>
        <v>Nov</v>
      </c>
      <c r="L833">
        <f>YEAR(Table1[[#This Row],[PurchaseDate]])</f>
        <v>2023</v>
      </c>
      <c r="M833" t="str">
        <f>IF(Table1[[#This Row],[TotalPrice]]&gt;2000,"High Sales","Low Sales")</f>
        <v>High Sales</v>
      </c>
    </row>
    <row r="834" spans="1:13" x14ac:dyDescent="0.3">
      <c r="A834" t="s">
        <v>804</v>
      </c>
      <c r="B834" t="s">
        <v>1658</v>
      </c>
      <c r="C834" s="1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  <c r="K834" t="str">
        <f>TEXT(Table1[[#This Row],[PurchaseDate]],"mmm")</f>
        <v>Apr</v>
      </c>
      <c r="L834">
        <f>YEAR(Table1[[#This Row],[PurchaseDate]])</f>
        <v>2025</v>
      </c>
      <c r="M834" t="str">
        <f>IF(Table1[[#This Row],[TotalPrice]]&gt;2000,"High Sales","Low Sales")</f>
        <v>Low Sales</v>
      </c>
    </row>
    <row r="835" spans="1:13" x14ac:dyDescent="0.3">
      <c r="A835" t="s">
        <v>805</v>
      </c>
      <c r="B835" t="s">
        <v>1655</v>
      </c>
      <c r="C835" s="1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  <c r="K835" t="str">
        <f>TEXT(Table1[[#This Row],[PurchaseDate]],"mmm")</f>
        <v>Jun</v>
      </c>
      <c r="L835">
        <f>YEAR(Table1[[#This Row],[PurchaseDate]])</f>
        <v>2024</v>
      </c>
      <c r="M835" t="str">
        <f>IF(Table1[[#This Row],[TotalPrice]]&gt;2000,"High Sales","Low Sales")</f>
        <v>High Sales</v>
      </c>
    </row>
    <row r="836" spans="1:13" x14ac:dyDescent="0.3">
      <c r="A836" t="s">
        <v>806</v>
      </c>
      <c r="B836" t="s">
        <v>1653</v>
      </c>
      <c r="C836" s="1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  <c r="K836" t="str">
        <f>TEXT(Table1[[#This Row],[PurchaseDate]],"mmm")</f>
        <v>Aug</v>
      </c>
      <c r="L836">
        <f>YEAR(Table1[[#This Row],[PurchaseDate]])</f>
        <v>2024</v>
      </c>
      <c r="M836" t="str">
        <f>IF(Table1[[#This Row],[TotalPrice]]&gt;2000,"High Sales","Low Sales")</f>
        <v>High Sales</v>
      </c>
    </row>
    <row r="837" spans="1:13" x14ac:dyDescent="0.3">
      <c r="A837" t="s">
        <v>807</v>
      </c>
      <c r="B837" t="s">
        <v>1656</v>
      </c>
      <c r="C837" s="1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  <c r="K837" t="str">
        <f>TEXT(Table1[[#This Row],[PurchaseDate]],"mmm")</f>
        <v>Mar</v>
      </c>
      <c r="L837">
        <f>YEAR(Table1[[#This Row],[PurchaseDate]])</f>
        <v>2024</v>
      </c>
      <c r="M837" t="str">
        <f>IF(Table1[[#This Row],[TotalPrice]]&gt;2000,"High Sales","Low Sales")</f>
        <v>Low Sales</v>
      </c>
    </row>
    <row r="838" spans="1:13" x14ac:dyDescent="0.3">
      <c r="A838" t="s">
        <v>808</v>
      </c>
      <c r="B838" t="s">
        <v>1652</v>
      </c>
      <c r="C838" s="1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  <c r="K838" t="str">
        <f>TEXT(Table1[[#This Row],[PurchaseDate]],"mmm")</f>
        <v>May</v>
      </c>
      <c r="L838">
        <f>YEAR(Table1[[#This Row],[PurchaseDate]])</f>
        <v>2024</v>
      </c>
      <c r="M838" t="str">
        <f>IF(Table1[[#This Row],[TotalPrice]]&gt;2000,"High Sales","Low Sales")</f>
        <v>Low Sales</v>
      </c>
    </row>
    <row r="839" spans="1:13" x14ac:dyDescent="0.3">
      <c r="A839" t="s">
        <v>809</v>
      </c>
      <c r="B839" t="s">
        <v>1655</v>
      </c>
      <c r="C839" s="1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  <c r="K839" t="str">
        <f>TEXT(Table1[[#This Row],[PurchaseDate]],"mmm")</f>
        <v>Aug</v>
      </c>
      <c r="L839">
        <f>YEAR(Table1[[#This Row],[PurchaseDate]])</f>
        <v>2024</v>
      </c>
      <c r="M839" t="str">
        <f>IF(Table1[[#This Row],[TotalPrice]]&gt;2000,"High Sales","Low Sales")</f>
        <v>High Sales</v>
      </c>
    </row>
    <row r="840" spans="1:13" x14ac:dyDescent="0.3">
      <c r="A840" t="s">
        <v>810</v>
      </c>
      <c r="B840" t="s">
        <v>1655</v>
      </c>
      <c r="C840" s="1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  <c r="K840" t="str">
        <f>TEXT(Table1[[#This Row],[PurchaseDate]],"mmm")</f>
        <v>Jan</v>
      </c>
      <c r="L840">
        <f>YEAR(Table1[[#This Row],[PurchaseDate]])</f>
        <v>2025</v>
      </c>
      <c r="M840" t="str">
        <f>IF(Table1[[#This Row],[TotalPrice]]&gt;2000,"High Sales","Low Sales")</f>
        <v>High Sales</v>
      </c>
    </row>
    <row r="841" spans="1:13" x14ac:dyDescent="0.3">
      <c r="A841" t="s">
        <v>811</v>
      </c>
      <c r="B841" t="s">
        <v>1654</v>
      </c>
      <c r="C841" s="1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  <c r="K841" t="str">
        <f>TEXT(Table1[[#This Row],[PurchaseDate]],"mmm")</f>
        <v>Dec</v>
      </c>
      <c r="L841">
        <f>YEAR(Table1[[#This Row],[PurchaseDate]])</f>
        <v>2023</v>
      </c>
      <c r="M841" t="str">
        <f>IF(Table1[[#This Row],[TotalPrice]]&gt;2000,"High Sales","Low Sales")</f>
        <v>Low Sales</v>
      </c>
    </row>
    <row r="842" spans="1:13" x14ac:dyDescent="0.3">
      <c r="A842" t="s">
        <v>812</v>
      </c>
      <c r="B842" t="s">
        <v>1657</v>
      </c>
      <c r="C842" s="1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  <c r="K842" t="str">
        <f>TEXT(Table1[[#This Row],[PurchaseDate]],"mmm")</f>
        <v>Nov</v>
      </c>
      <c r="L842">
        <f>YEAR(Table1[[#This Row],[PurchaseDate]])</f>
        <v>2023</v>
      </c>
      <c r="M842" t="str">
        <f>IF(Table1[[#This Row],[TotalPrice]]&gt;2000,"High Sales","Low Sales")</f>
        <v>High Sales</v>
      </c>
    </row>
    <row r="843" spans="1:13" x14ac:dyDescent="0.3">
      <c r="A843" t="s">
        <v>813</v>
      </c>
      <c r="B843" t="s">
        <v>1657</v>
      </c>
      <c r="C843" s="1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  <c r="K843" t="str">
        <f>TEXT(Table1[[#This Row],[PurchaseDate]],"mmm")</f>
        <v>Mar</v>
      </c>
      <c r="L843">
        <f>YEAR(Table1[[#This Row],[PurchaseDate]])</f>
        <v>2025</v>
      </c>
      <c r="M843" t="str">
        <f>IF(Table1[[#This Row],[TotalPrice]]&gt;2000,"High Sales","Low Sales")</f>
        <v>High Sales</v>
      </c>
    </row>
    <row r="844" spans="1:13" x14ac:dyDescent="0.3">
      <c r="A844" t="s">
        <v>814</v>
      </c>
      <c r="B844" t="s">
        <v>1657</v>
      </c>
      <c r="C844" s="1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  <c r="K844" t="str">
        <f>TEXT(Table1[[#This Row],[PurchaseDate]],"mmm")</f>
        <v>May</v>
      </c>
      <c r="L844">
        <f>YEAR(Table1[[#This Row],[PurchaseDate]])</f>
        <v>2025</v>
      </c>
      <c r="M844" t="str">
        <f>IF(Table1[[#This Row],[TotalPrice]]&gt;2000,"High Sales","Low Sales")</f>
        <v>High Sales</v>
      </c>
    </row>
    <row r="845" spans="1:13" x14ac:dyDescent="0.3">
      <c r="A845" t="s">
        <v>815</v>
      </c>
      <c r="B845" t="s">
        <v>1652</v>
      </c>
      <c r="C845" s="1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  <c r="K845" t="str">
        <f>TEXT(Table1[[#This Row],[PurchaseDate]],"mmm")</f>
        <v>Feb</v>
      </c>
      <c r="L845">
        <f>YEAR(Table1[[#This Row],[PurchaseDate]])</f>
        <v>2024</v>
      </c>
      <c r="M845" t="str">
        <f>IF(Table1[[#This Row],[TotalPrice]]&gt;2000,"High Sales","Low Sales")</f>
        <v>Low Sales</v>
      </c>
    </row>
    <row r="846" spans="1:13" x14ac:dyDescent="0.3">
      <c r="A846" t="s">
        <v>816</v>
      </c>
      <c r="B846" t="s">
        <v>1655</v>
      </c>
      <c r="C846" s="1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  <c r="K846" t="str">
        <f>TEXT(Table1[[#This Row],[PurchaseDate]],"mmm")</f>
        <v>Dec</v>
      </c>
      <c r="L846">
        <f>YEAR(Table1[[#This Row],[PurchaseDate]])</f>
        <v>2023</v>
      </c>
      <c r="M846" t="str">
        <f>IF(Table1[[#This Row],[TotalPrice]]&gt;2000,"High Sales","Low Sales")</f>
        <v>High Sales</v>
      </c>
    </row>
    <row r="847" spans="1:13" x14ac:dyDescent="0.3">
      <c r="A847" t="s">
        <v>817</v>
      </c>
      <c r="B847" t="s">
        <v>1657</v>
      </c>
      <c r="C847" s="1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  <c r="K847" t="str">
        <f>TEXT(Table1[[#This Row],[PurchaseDate]],"mmm")</f>
        <v>May</v>
      </c>
      <c r="L847">
        <f>YEAR(Table1[[#This Row],[PurchaseDate]])</f>
        <v>2023</v>
      </c>
      <c r="M847" t="str">
        <f>IF(Table1[[#This Row],[TotalPrice]]&gt;2000,"High Sales","Low Sales")</f>
        <v>High Sales</v>
      </c>
    </row>
    <row r="848" spans="1:13" x14ac:dyDescent="0.3">
      <c r="A848" t="s">
        <v>818</v>
      </c>
      <c r="B848" t="s">
        <v>1656</v>
      </c>
      <c r="C848" s="1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  <c r="K848" t="str">
        <f>TEXT(Table1[[#This Row],[PurchaseDate]],"mmm")</f>
        <v>Nov</v>
      </c>
      <c r="L848">
        <f>YEAR(Table1[[#This Row],[PurchaseDate]])</f>
        <v>2023</v>
      </c>
      <c r="M848" t="str">
        <f>IF(Table1[[#This Row],[TotalPrice]]&gt;2000,"High Sales","Low Sales")</f>
        <v>Low Sales</v>
      </c>
    </row>
    <row r="849" spans="1:13" x14ac:dyDescent="0.3">
      <c r="A849" t="s">
        <v>819</v>
      </c>
      <c r="B849" t="s">
        <v>1653</v>
      </c>
      <c r="C849" s="1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  <c r="K849" t="str">
        <f>TEXT(Table1[[#This Row],[PurchaseDate]],"mmm")</f>
        <v>Oct</v>
      </c>
      <c r="L849">
        <f>YEAR(Table1[[#This Row],[PurchaseDate]])</f>
        <v>2024</v>
      </c>
      <c r="M849" t="str">
        <f>IF(Table1[[#This Row],[TotalPrice]]&gt;2000,"High Sales","Low Sales")</f>
        <v>Low Sales</v>
      </c>
    </row>
    <row r="850" spans="1:13" x14ac:dyDescent="0.3">
      <c r="A850" t="s">
        <v>820</v>
      </c>
      <c r="B850" t="s">
        <v>1652</v>
      </c>
      <c r="C850" s="1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  <c r="K850" t="str">
        <f>TEXT(Table1[[#This Row],[PurchaseDate]],"mmm")</f>
        <v>Mar</v>
      </c>
      <c r="L850">
        <f>YEAR(Table1[[#This Row],[PurchaseDate]])</f>
        <v>2024</v>
      </c>
      <c r="M850" t="str">
        <f>IF(Table1[[#This Row],[TotalPrice]]&gt;2000,"High Sales","Low Sales")</f>
        <v>High Sales</v>
      </c>
    </row>
    <row r="851" spans="1:13" x14ac:dyDescent="0.3">
      <c r="A851" t="s">
        <v>821</v>
      </c>
      <c r="B851" t="s">
        <v>1656</v>
      </c>
      <c r="C851" s="1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  <c r="K851" t="str">
        <f>TEXT(Table1[[#This Row],[PurchaseDate]],"mmm")</f>
        <v>Dec</v>
      </c>
      <c r="L851">
        <f>YEAR(Table1[[#This Row],[PurchaseDate]])</f>
        <v>2024</v>
      </c>
      <c r="M851" t="str">
        <f>IF(Table1[[#This Row],[TotalPrice]]&gt;2000,"High Sales","Low Sales")</f>
        <v>High Sales</v>
      </c>
    </row>
    <row r="852" spans="1:13" x14ac:dyDescent="0.3">
      <c r="A852" t="s">
        <v>822</v>
      </c>
      <c r="B852" t="s">
        <v>1658</v>
      </c>
      <c r="C852" s="1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  <c r="K852" t="str">
        <f>TEXT(Table1[[#This Row],[PurchaseDate]],"mmm")</f>
        <v>Mar</v>
      </c>
      <c r="L852">
        <f>YEAR(Table1[[#This Row],[PurchaseDate]])</f>
        <v>2023</v>
      </c>
      <c r="M852" t="str">
        <f>IF(Table1[[#This Row],[TotalPrice]]&gt;2000,"High Sales","Low Sales")</f>
        <v>High Sales</v>
      </c>
    </row>
    <row r="853" spans="1:13" x14ac:dyDescent="0.3">
      <c r="A853" t="s">
        <v>823</v>
      </c>
      <c r="B853" t="s">
        <v>1654</v>
      </c>
      <c r="C853" s="1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  <c r="K853" t="str">
        <f>TEXT(Table1[[#This Row],[PurchaseDate]],"mmm")</f>
        <v>Sep</v>
      </c>
      <c r="L853">
        <f>YEAR(Table1[[#This Row],[PurchaseDate]])</f>
        <v>2024</v>
      </c>
      <c r="M853" t="str">
        <f>IF(Table1[[#This Row],[TotalPrice]]&gt;2000,"High Sales","Low Sales")</f>
        <v>Low Sales</v>
      </c>
    </row>
    <row r="854" spans="1:13" x14ac:dyDescent="0.3">
      <c r="A854" t="s">
        <v>60</v>
      </c>
      <c r="B854" t="s">
        <v>1655</v>
      </c>
      <c r="C854" s="1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  <c r="K854" t="str">
        <f>TEXT(Table1[[#This Row],[PurchaseDate]],"mmm")</f>
        <v>Sep</v>
      </c>
      <c r="L854">
        <f>YEAR(Table1[[#This Row],[PurchaseDate]])</f>
        <v>2024</v>
      </c>
      <c r="M854" t="str">
        <f>IF(Table1[[#This Row],[TotalPrice]]&gt;2000,"High Sales","Low Sales")</f>
        <v>Low Sales</v>
      </c>
    </row>
    <row r="855" spans="1:13" x14ac:dyDescent="0.3">
      <c r="A855" t="s">
        <v>824</v>
      </c>
      <c r="B855" t="s">
        <v>1655</v>
      </c>
      <c r="C855" s="1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  <c r="K855" t="str">
        <f>TEXT(Table1[[#This Row],[PurchaseDate]],"mmm")</f>
        <v>Mar</v>
      </c>
      <c r="L855">
        <f>YEAR(Table1[[#This Row],[PurchaseDate]])</f>
        <v>2023</v>
      </c>
      <c r="M855" t="str">
        <f>IF(Table1[[#This Row],[TotalPrice]]&gt;2000,"High Sales","Low Sales")</f>
        <v>Low Sales</v>
      </c>
    </row>
    <row r="856" spans="1:13" x14ac:dyDescent="0.3">
      <c r="A856" t="s">
        <v>825</v>
      </c>
      <c r="B856" t="s">
        <v>1656</v>
      </c>
      <c r="C856" s="1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  <c r="K856" t="str">
        <f>TEXT(Table1[[#This Row],[PurchaseDate]],"mmm")</f>
        <v>Mar</v>
      </c>
      <c r="L856">
        <f>YEAR(Table1[[#This Row],[PurchaseDate]])</f>
        <v>2023</v>
      </c>
      <c r="M856" t="str">
        <f>IF(Table1[[#This Row],[TotalPrice]]&gt;2000,"High Sales","Low Sales")</f>
        <v>Low Sales</v>
      </c>
    </row>
    <row r="857" spans="1:13" x14ac:dyDescent="0.3">
      <c r="A857" t="s">
        <v>826</v>
      </c>
      <c r="B857" t="s">
        <v>1656</v>
      </c>
      <c r="C857" s="1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  <c r="K857" t="str">
        <f>TEXT(Table1[[#This Row],[PurchaseDate]],"mmm")</f>
        <v>Jun</v>
      </c>
      <c r="L857">
        <f>YEAR(Table1[[#This Row],[PurchaseDate]])</f>
        <v>2023</v>
      </c>
      <c r="M857" t="str">
        <f>IF(Table1[[#This Row],[TotalPrice]]&gt;2000,"High Sales","Low Sales")</f>
        <v>Low Sales</v>
      </c>
    </row>
    <row r="858" spans="1:13" x14ac:dyDescent="0.3">
      <c r="A858" t="s">
        <v>827</v>
      </c>
      <c r="B858" t="s">
        <v>1652</v>
      </c>
      <c r="C858" s="1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  <c r="K858" t="str">
        <f>TEXT(Table1[[#This Row],[PurchaseDate]],"mmm")</f>
        <v>Jun</v>
      </c>
      <c r="L858">
        <f>YEAR(Table1[[#This Row],[PurchaseDate]])</f>
        <v>2025</v>
      </c>
      <c r="M858" t="str">
        <f>IF(Table1[[#This Row],[TotalPrice]]&gt;2000,"High Sales","Low Sales")</f>
        <v>High Sales</v>
      </c>
    </row>
    <row r="859" spans="1:13" x14ac:dyDescent="0.3">
      <c r="A859" t="s">
        <v>341</v>
      </c>
      <c r="B859" t="s">
        <v>1653</v>
      </c>
      <c r="C859" s="1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  <c r="K859" t="str">
        <f>TEXT(Table1[[#This Row],[PurchaseDate]],"mmm")</f>
        <v>Feb</v>
      </c>
      <c r="L859">
        <f>YEAR(Table1[[#This Row],[PurchaseDate]])</f>
        <v>2025</v>
      </c>
      <c r="M859" t="str">
        <f>IF(Table1[[#This Row],[TotalPrice]]&gt;2000,"High Sales","Low Sales")</f>
        <v>Low Sales</v>
      </c>
    </row>
    <row r="860" spans="1:13" x14ac:dyDescent="0.3">
      <c r="A860" t="s">
        <v>828</v>
      </c>
      <c r="B860" t="s">
        <v>1653</v>
      </c>
      <c r="C860" s="1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  <c r="K860" t="str">
        <f>TEXT(Table1[[#This Row],[PurchaseDate]],"mmm")</f>
        <v>Mar</v>
      </c>
      <c r="L860">
        <f>YEAR(Table1[[#This Row],[PurchaseDate]])</f>
        <v>2023</v>
      </c>
      <c r="M860" t="str">
        <f>IF(Table1[[#This Row],[TotalPrice]]&gt;2000,"High Sales","Low Sales")</f>
        <v>High Sales</v>
      </c>
    </row>
    <row r="861" spans="1:13" x14ac:dyDescent="0.3">
      <c r="A861" t="s">
        <v>829</v>
      </c>
      <c r="B861" t="s">
        <v>1655</v>
      </c>
      <c r="C861" s="1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  <c r="K861" t="str">
        <f>TEXT(Table1[[#This Row],[PurchaseDate]],"mmm")</f>
        <v>Aug</v>
      </c>
      <c r="L861">
        <f>YEAR(Table1[[#This Row],[PurchaseDate]])</f>
        <v>2024</v>
      </c>
      <c r="M861" t="str">
        <f>IF(Table1[[#This Row],[TotalPrice]]&gt;2000,"High Sales","Low Sales")</f>
        <v>Low Sales</v>
      </c>
    </row>
    <row r="862" spans="1:13" x14ac:dyDescent="0.3">
      <c r="A862" t="s">
        <v>830</v>
      </c>
      <c r="B862" t="s">
        <v>1657</v>
      </c>
      <c r="C862" s="1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  <c r="K862" t="str">
        <f>TEXT(Table1[[#This Row],[PurchaseDate]],"mmm")</f>
        <v>Feb</v>
      </c>
      <c r="L862">
        <f>YEAR(Table1[[#This Row],[PurchaseDate]])</f>
        <v>2024</v>
      </c>
      <c r="M862" t="str">
        <f>IF(Table1[[#This Row],[TotalPrice]]&gt;2000,"High Sales","Low Sales")</f>
        <v>High Sales</v>
      </c>
    </row>
    <row r="863" spans="1:13" x14ac:dyDescent="0.3">
      <c r="A863" t="s">
        <v>831</v>
      </c>
      <c r="B863" t="s">
        <v>1657</v>
      </c>
      <c r="C863" s="1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  <c r="K863" t="str">
        <f>TEXT(Table1[[#This Row],[PurchaseDate]],"mmm")</f>
        <v>Jan</v>
      </c>
      <c r="L863">
        <f>YEAR(Table1[[#This Row],[PurchaseDate]])</f>
        <v>2024</v>
      </c>
      <c r="M863" t="str">
        <f>IF(Table1[[#This Row],[TotalPrice]]&gt;2000,"High Sales","Low Sales")</f>
        <v>Low Sales</v>
      </c>
    </row>
    <row r="864" spans="1:13" x14ac:dyDescent="0.3">
      <c r="A864" t="s">
        <v>832</v>
      </c>
      <c r="B864" t="s">
        <v>1654</v>
      </c>
      <c r="C864" s="1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  <c r="K864" t="str">
        <f>TEXT(Table1[[#This Row],[PurchaseDate]],"mmm")</f>
        <v>Dec</v>
      </c>
      <c r="L864">
        <f>YEAR(Table1[[#This Row],[PurchaseDate]])</f>
        <v>2023</v>
      </c>
      <c r="M864" t="str">
        <f>IF(Table1[[#This Row],[TotalPrice]]&gt;2000,"High Sales","Low Sales")</f>
        <v>Low Sales</v>
      </c>
    </row>
    <row r="865" spans="1:13" x14ac:dyDescent="0.3">
      <c r="A865" t="s">
        <v>833</v>
      </c>
      <c r="B865" t="s">
        <v>1654</v>
      </c>
      <c r="C865" s="1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  <c r="K865" t="str">
        <f>TEXT(Table1[[#This Row],[PurchaseDate]],"mmm")</f>
        <v>Dec</v>
      </c>
      <c r="L865">
        <f>YEAR(Table1[[#This Row],[PurchaseDate]])</f>
        <v>2024</v>
      </c>
      <c r="M865" t="str">
        <f>IF(Table1[[#This Row],[TotalPrice]]&gt;2000,"High Sales","Low Sales")</f>
        <v>Low Sales</v>
      </c>
    </row>
    <row r="866" spans="1:13" x14ac:dyDescent="0.3">
      <c r="A866" t="s">
        <v>834</v>
      </c>
      <c r="B866" t="s">
        <v>1653</v>
      </c>
      <c r="C866" s="1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  <c r="K866" t="str">
        <f>TEXT(Table1[[#This Row],[PurchaseDate]],"mmm")</f>
        <v>Jul</v>
      </c>
      <c r="L866">
        <f>YEAR(Table1[[#This Row],[PurchaseDate]])</f>
        <v>2023</v>
      </c>
      <c r="M866" t="str">
        <f>IF(Table1[[#This Row],[TotalPrice]]&gt;2000,"High Sales","Low Sales")</f>
        <v>Low Sales</v>
      </c>
    </row>
    <row r="867" spans="1:13" x14ac:dyDescent="0.3">
      <c r="A867" t="s">
        <v>835</v>
      </c>
      <c r="B867" t="s">
        <v>1652</v>
      </c>
      <c r="C867" s="1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  <c r="K867" t="str">
        <f>TEXT(Table1[[#This Row],[PurchaseDate]],"mmm")</f>
        <v>Jan</v>
      </c>
      <c r="L867">
        <f>YEAR(Table1[[#This Row],[PurchaseDate]])</f>
        <v>2024</v>
      </c>
      <c r="M867" t="str">
        <f>IF(Table1[[#This Row],[TotalPrice]]&gt;2000,"High Sales","Low Sales")</f>
        <v>Low Sales</v>
      </c>
    </row>
    <row r="868" spans="1:13" x14ac:dyDescent="0.3">
      <c r="A868" t="s">
        <v>836</v>
      </c>
      <c r="B868" t="s">
        <v>1654</v>
      </c>
      <c r="C868" s="1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  <c r="K868" t="str">
        <f>TEXT(Table1[[#This Row],[PurchaseDate]],"mmm")</f>
        <v>Feb</v>
      </c>
      <c r="L868">
        <f>YEAR(Table1[[#This Row],[PurchaseDate]])</f>
        <v>2025</v>
      </c>
      <c r="M868" t="str">
        <f>IF(Table1[[#This Row],[TotalPrice]]&gt;2000,"High Sales","Low Sales")</f>
        <v>Low Sales</v>
      </c>
    </row>
    <row r="869" spans="1:13" x14ac:dyDescent="0.3">
      <c r="A869" t="s">
        <v>837</v>
      </c>
      <c r="B869" t="s">
        <v>1655</v>
      </c>
      <c r="C869" s="1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  <c r="K869" t="str">
        <f>TEXT(Table1[[#This Row],[PurchaseDate]],"mmm")</f>
        <v>Aug</v>
      </c>
      <c r="L869">
        <f>YEAR(Table1[[#This Row],[PurchaseDate]])</f>
        <v>2024</v>
      </c>
      <c r="M869" t="str">
        <f>IF(Table1[[#This Row],[TotalPrice]]&gt;2000,"High Sales","Low Sales")</f>
        <v>Low Sales</v>
      </c>
    </row>
    <row r="870" spans="1:13" x14ac:dyDescent="0.3">
      <c r="A870" t="s">
        <v>838</v>
      </c>
      <c r="B870" t="s">
        <v>1658</v>
      </c>
      <c r="C870" s="1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  <c r="K870" t="str">
        <f>TEXT(Table1[[#This Row],[PurchaseDate]],"mmm")</f>
        <v>Apr</v>
      </c>
      <c r="L870">
        <f>YEAR(Table1[[#This Row],[PurchaseDate]])</f>
        <v>2025</v>
      </c>
      <c r="M870" t="str">
        <f>IF(Table1[[#This Row],[TotalPrice]]&gt;2000,"High Sales","Low Sales")</f>
        <v>Low Sales</v>
      </c>
    </row>
    <row r="871" spans="1:13" x14ac:dyDescent="0.3">
      <c r="A871" t="s">
        <v>839</v>
      </c>
      <c r="B871" t="s">
        <v>1655</v>
      </c>
      <c r="C871" s="1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  <c r="K871" t="str">
        <f>TEXT(Table1[[#This Row],[PurchaseDate]],"mmm")</f>
        <v>Jul</v>
      </c>
      <c r="L871">
        <f>YEAR(Table1[[#This Row],[PurchaseDate]])</f>
        <v>2024</v>
      </c>
      <c r="M871" t="str">
        <f>IF(Table1[[#This Row],[TotalPrice]]&gt;2000,"High Sales","Low Sales")</f>
        <v>High Sales</v>
      </c>
    </row>
    <row r="872" spans="1:13" x14ac:dyDescent="0.3">
      <c r="A872" t="s">
        <v>840</v>
      </c>
      <c r="B872" t="s">
        <v>1653</v>
      </c>
      <c r="C872" s="1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  <c r="K872" t="str">
        <f>TEXT(Table1[[#This Row],[PurchaseDate]],"mmm")</f>
        <v>Feb</v>
      </c>
      <c r="L872">
        <f>YEAR(Table1[[#This Row],[PurchaseDate]])</f>
        <v>2024</v>
      </c>
      <c r="M872" t="str">
        <f>IF(Table1[[#This Row],[TotalPrice]]&gt;2000,"High Sales","Low Sales")</f>
        <v>High Sales</v>
      </c>
    </row>
    <row r="873" spans="1:13" x14ac:dyDescent="0.3">
      <c r="A873" t="s">
        <v>311</v>
      </c>
      <c r="B873" t="s">
        <v>1654</v>
      </c>
      <c r="C873" s="1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  <c r="K873" t="str">
        <f>TEXT(Table1[[#This Row],[PurchaseDate]],"mmm")</f>
        <v>Apr</v>
      </c>
      <c r="L873">
        <f>YEAR(Table1[[#This Row],[PurchaseDate]])</f>
        <v>2023</v>
      </c>
      <c r="M873" t="str">
        <f>IF(Table1[[#This Row],[TotalPrice]]&gt;2000,"High Sales","Low Sales")</f>
        <v>Low Sales</v>
      </c>
    </row>
    <row r="874" spans="1:13" x14ac:dyDescent="0.3">
      <c r="A874" t="s">
        <v>841</v>
      </c>
      <c r="B874" t="s">
        <v>1654</v>
      </c>
      <c r="C874" s="1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  <c r="K874" t="str">
        <f>TEXT(Table1[[#This Row],[PurchaseDate]],"mmm")</f>
        <v>Mar</v>
      </c>
      <c r="L874">
        <f>YEAR(Table1[[#This Row],[PurchaseDate]])</f>
        <v>2024</v>
      </c>
      <c r="M874" t="str">
        <f>IF(Table1[[#This Row],[TotalPrice]]&gt;2000,"High Sales","Low Sales")</f>
        <v>Low Sales</v>
      </c>
    </row>
    <row r="875" spans="1:13" x14ac:dyDescent="0.3">
      <c r="A875" t="s">
        <v>842</v>
      </c>
      <c r="B875" t="s">
        <v>1657</v>
      </c>
      <c r="C875" s="1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  <c r="K875" t="str">
        <f>TEXT(Table1[[#This Row],[PurchaseDate]],"mmm")</f>
        <v>Mar</v>
      </c>
      <c r="L875">
        <f>YEAR(Table1[[#This Row],[PurchaseDate]])</f>
        <v>2024</v>
      </c>
      <c r="M875" t="str">
        <f>IF(Table1[[#This Row],[TotalPrice]]&gt;2000,"High Sales","Low Sales")</f>
        <v>High Sales</v>
      </c>
    </row>
    <row r="876" spans="1:13" x14ac:dyDescent="0.3">
      <c r="A876" t="s">
        <v>843</v>
      </c>
      <c r="B876" t="s">
        <v>1653</v>
      </c>
      <c r="C876" s="1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  <c r="K876" t="str">
        <f>TEXT(Table1[[#This Row],[PurchaseDate]],"mmm")</f>
        <v>May</v>
      </c>
      <c r="L876">
        <f>YEAR(Table1[[#This Row],[PurchaseDate]])</f>
        <v>2023</v>
      </c>
      <c r="M876" t="str">
        <f>IF(Table1[[#This Row],[TotalPrice]]&gt;2000,"High Sales","Low Sales")</f>
        <v>Low Sales</v>
      </c>
    </row>
    <row r="877" spans="1:13" x14ac:dyDescent="0.3">
      <c r="A877" t="s">
        <v>844</v>
      </c>
      <c r="B877" t="s">
        <v>1658</v>
      </c>
      <c r="C877" s="1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  <c r="K877" t="str">
        <f>TEXT(Table1[[#This Row],[PurchaseDate]],"mmm")</f>
        <v>Jan</v>
      </c>
      <c r="L877">
        <f>YEAR(Table1[[#This Row],[PurchaseDate]])</f>
        <v>2024</v>
      </c>
      <c r="M877" t="str">
        <f>IF(Table1[[#This Row],[TotalPrice]]&gt;2000,"High Sales","Low Sales")</f>
        <v>Low Sales</v>
      </c>
    </row>
    <row r="878" spans="1:13" x14ac:dyDescent="0.3">
      <c r="A878" t="s">
        <v>845</v>
      </c>
      <c r="B878" t="s">
        <v>1653</v>
      </c>
      <c r="C878" s="1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  <c r="K878" t="str">
        <f>TEXT(Table1[[#This Row],[PurchaseDate]],"mmm")</f>
        <v>Jul</v>
      </c>
      <c r="L878">
        <f>YEAR(Table1[[#This Row],[PurchaseDate]])</f>
        <v>2023</v>
      </c>
      <c r="M878" t="str">
        <f>IF(Table1[[#This Row],[TotalPrice]]&gt;2000,"High Sales","Low Sales")</f>
        <v>Low Sales</v>
      </c>
    </row>
    <row r="879" spans="1:13" x14ac:dyDescent="0.3">
      <c r="A879" t="s">
        <v>846</v>
      </c>
      <c r="B879" t="s">
        <v>1655</v>
      </c>
      <c r="C879" s="1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  <c r="K879" t="str">
        <f>TEXT(Table1[[#This Row],[PurchaseDate]],"mmm")</f>
        <v>Sep</v>
      </c>
      <c r="L879">
        <f>YEAR(Table1[[#This Row],[PurchaseDate]])</f>
        <v>2024</v>
      </c>
      <c r="M879" t="str">
        <f>IF(Table1[[#This Row],[TotalPrice]]&gt;2000,"High Sales","Low Sales")</f>
        <v>High Sales</v>
      </c>
    </row>
    <row r="880" spans="1:13" x14ac:dyDescent="0.3">
      <c r="A880" t="s">
        <v>847</v>
      </c>
      <c r="B880" t="s">
        <v>1657</v>
      </c>
      <c r="C880" s="1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  <c r="K880" t="str">
        <f>TEXT(Table1[[#This Row],[PurchaseDate]],"mmm")</f>
        <v>Jul</v>
      </c>
      <c r="L880">
        <f>YEAR(Table1[[#This Row],[PurchaseDate]])</f>
        <v>2024</v>
      </c>
      <c r="M880" t="str">
        <f>IF(Table1[[#This Row],[TotalPrice]]&gt;2000,"High Sales","Low Sales")</f>
        <v>Low Sales</v>
      </c>
    </row>
    <row r="881" spans="1:13" x14ac:dyDescent="0.3">
      <c r="A881" t="s">
        <v>848</v>
      </c>
      <c r="B881" t="s">
        <v>1652</v>
      </c>
      <c r="C881" s="1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  <c r="K881" t="str">
        <f>TEXT(Table1[[#This Row],[PurchaseDate]],"mmm")</f>
        <v>Dec</v>
      </c>
      <c r="L881">
        <f>YEAR(Table1[[#This Row],[PurchaseDate]])</f>
        <v>2024</v>
      </c>
      <c r="M881" t="str">
        <f>IF(Table1[[#This Row],[TotalPrice]]&gt;2000,"High Sales","Low Sales")</f>
        <v>High Sales</v>
      </c>
    </row>
    <row r="882" spans="1:13" x14ac:dyDescent="0.3">
      <c r="A882" t="s">
        <v>849</v>
      </c>
      <c r="B882" t="s">
        <v>1653</v>
      </c>
      <c r="C882" s="1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  <c r="K882" t="str">
        <f>TEXT(Table1[[#This Row],[PurchaseDate]],"mmm")</f>
        <v>Dec</v>
      </c>
      <c r="L882">
        <f>YEAR(Table1[[#This Row],[PurchaseDate]])</f>
        <v>2024</v>
      </c>
      <c r="M882" t="str">
        <f>IF(Table1[[#This Row],[TotalPrice]]&gt;2000,"High Sales","Low Sales")</f>
        <v>Low Sales</v>
      </c>
    </row>
    <row r="883" spans="1:13" x14ac:dyDescent="0.3">
      <c r="A883" t="s">
        <v>850</v>
      </c>
      <c r="B883" t="s">
        <v>1652</v>
      </c>
      <c r="C883" s="1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  <c r="K883" t="str">
        <f>TEXT(Table1[[#This Row],[PurchaseDate]],"mmm")</f>
        <v>Feb</v>
      </c>
      <c r="L883">
        <f>YEAR(Table1[[#This Row],[PurchaseDate]])</f>
        <v>2024</v>
      </c>
      <c r="M883" t="str">
        <f>IF(Table1[[#This Row],[TotalPrice]]&gt;2000,"High Sales","Low Sales")</f>
        <v>High Sales</v>
      </c>
    </row>
    <row r="884" spans="1:13" x14ac:dyDescent="0.3">
      <c r="A884" t="s">
        <v>851</v>
      </c>
      <c r="B884" t="s">
        <v>1652</v>
      </c>
      <c r="C884" s="1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  <c r="K884" t="str">
        <f>TEXT(Table1[[#This Row],[PurchaseDate]],"mmm")</f>
        <v>Oct</v>
      </c>
      <c r="L884">
        <f>YEAR(Table1[[#This Row],[PurchaseDate]])</f>
        <v>2023</v>
      </c>
      <c r="M884" t="str">
        <f>IF(Table1[[#This Row],[TotalPrice]]&gt;2000,"High Sales","Low Sales")</f>
        <v>Low Sales</v>
      </c>
    </row>
    <row r="885" spans="1:13" x14ac:dyDescent="0.3">
      <c r="A885" t="s">
        <v>852</v>
      </c>
      <c r="B885" t="s">
        <v>1657</v>
      </c>
      <c r="C885" s="1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  <c r="K885" t="str">
        <f>TEXT(Table1[[#This Row],[PurchaseDate]],"mmm")</f>
        <v>Jun</v>
      </c>
      <c r="L885">
        <f>YEAR(Table1[[#This Row],[PurchaseDate]])</f>
        <v>2023</v>
      </c>
      <c r="M885" t="str">
        <f>IF(Table1[[#This Row],[TotalPrice]]&gt;2000,"High Sales","Low Sales")</f>
        <v>Low Sales</v>
      </c>
    </row>
    <row r="886" spans="1:13" x14ac:dyDescent="0.3">
      <c r="A886" t="s">
        <v>853</v>
      </c>
      <c r="B886" t="s">
        <v>1658</v>
      </c>
      <c r="C886" s="1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  <c r="K886" t="str">
        <f>TEXT(Table1[[#This Row],[PurchaseDate]],"mmm")</f>
        <v>Aug</v>
      </c>
      <c r="L886">
        <f>YEAR(Table1[[#This Row],[PurchaseDate]])</f>
        <v>2024</v>
      </c>
      <c r="M886" t="str">
        <f>IF(Table1[[#This Row],[TotalPrice]]&gt;2000,"High Sales","Low Sales")</f>
        <v>Low Sales</v>
      </c>
    </row>
    <row r="887" spans="1:13" x14ac:dyDescent="0.3">
      <c r="A887" t="s">
        <v>854</v>
      </c>
      <c r="B887" t="s">
        <v>1656</v>
      </c>
      <c r="C887" s="1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  <c r="K887" t="str">
        <f>TEXT(Table1[[#This Row],[PurchaseDate]],"mmm")</f>
        <v>Apr</v>
      </c>
      <c r="L887">
        <f>YEAR(Table1[[#This Row],[PurchaseDate]])</f>
        <v>2025</v>
      </c>
      <c r="M887" t="str">
        <f>IF(Table1[[#This Row],[TotalPrice]]&gt;2000,"High Sales","Low Sales")</f>
        <v>Low Sales</v>
      </c>
    </row>
    <row r="888" spans="1:13" x14ac:dyDescent="0.3">
      <c r="A888" t="s">
        <v>855</v>
      </c>
      <c r="B888" t="s">
        <v>1653</v>
      </c>
      <c r="C888" s="1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  <c r="K888" t="str">
        <f>TEXT(Table1[[#This Row],[PurchaseDate]],"mmm")</f>
        <v>May</v>
      </c>
      <c r="L888">
        <f>YEAR(Table1[[#This Row],[PurchaseDate]])</f>
        <v>2024</v>
      </c>
      <c r="M888" t="str">
        <f>IF(Table1[[#This Row],[TotalPrice]]&gt;2000,"High Sales","Low Sales")</f>
        <v>Low Sales</v>
      </c>
    </row>
    <row r="889" spans="1:13" x14ac:dyDescent="0.3">
      <c r="A889" t="s">
        <v>856</v>
      </c>
      <c r="B889" t="s">
        <v>1658</v>
      </c>
      <c r="C889" s="1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  <c r="K889" t="str">
        <f>TEXT(Table1[[#This Row],[PurchaseDate]],"mmm")</f>
        <v>Apr</v>
      </c>
      <c r="L889">
        <f>YEAR(Table1[[#This Row],[PurchaseDate]])</f>
        <v>2023</v>
      </c>
      <c r="M889" t="str">
        <f>IF(Table1[[#This Row],[TotalPrice]]&gt;2000,"High Sales","Low Sales")</f>
        <v>Low Sales</v>
      </c>
    </row>
    <row r="890" spans="1:13" x14ac:dyDescent="0.3">
      <c r="A890" t="s">
        <v>857</v>
      </c>
      <c r="B890" t="s">
        <v>1657</v>
      </c>
      <c r="C890" s="1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  <c r="K890" t="str">
        <f>TEXT(Table1[[#This Row],[PurchaseDate]],"mmm")</f>
        <v>Feb</v>
      </c>
      <c r="L890">
        <f>YEAR(Table1[[#This Row],[PurchaseDate]])</f>
        <v>2025</v>
      </c>
      <c r="M890" t="str">
        <f>IF(Table1[[#This Row],[TotalPrice]]&gt;2000,"High Sales","Low Sales")</f>
        <v>High Sales</v>
      </c>
    </row>
    <row r="891" spans="1:13" x14ac:dyDescent="0.3">
      <c r="A891" t="s">
        <v>858</v>
      </c>
      <c r="B891" t="s">
        <v>1653</v>
      </c>
      <c r="C891" s="1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  <c r="K891" t="str">
        <f>TEXT(Table1[[#This Row],[PurchaseDate]],"mmm")</f>
        <v>Apr</v>
      </c>
      <c r="L891">
        <f>YEAR(Table1[[#This Row],[PurchaseDate]])</f>
        <v>2023</v>
      </c>
      <c r="M891" t="str">
        <f>IF(Table1[[#This Row],[TotalPrice]]&gt;2000,"High Sales","Low Sales")</f>
        <v>High Sales</v>
      </c>
    </row>
    <row r="892" spans="1:13" x14ac:dyDescent="0.3">
      <c r="A892" t="s">
        <v>859</v>
      </c>
      <c r="B892" t="s">
        <v>1658</v>
      </c>
      <c r="C892" s="1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  <c r="K892" t="str">
        <f>TEXT(Table1[[#This Row],[PurchaseDate]],"mmm")</f>
        <v>Jul</v>
      </c>
      <c r="L892">
        <f>YEAR(Table1[[#This Row],[PurchaseDate]])</f>
        <v>2023</v>
      </c>
      <c r="M892" t="str">
        <f>IF(Table1[[#This Row],[TotalPrice]]&gt;2000,"High Sales","Low Sales")</f>
        <v>High Sales</v>
      </c>
    </row>
    <row r="893" spans="1:13" x14ac:dyDescent="0.3">
      <c r="A893" t="s">
        <v>860</v>
      </c>
      <c r="B893" t="s">
        <v>1653</v>
      </c>
      <c r="C893" s="1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  <c r="K893" t="str">
        <f>TEXT(Table1[[#This Row],[PurchaseDate]],"mmm")</f>
        <v>Jul</v>
      </c>
      <c r="L893">
        <f>YEAR(Table1[[#This Row],[PurchaseDate]])</f>
        <v>2024</v>
      </c>
      <c r="M893" t="str">
        <f>IF(Table1[[#This Row],[TotalPrice]]&gt;2000,"High Sales","Low Sales")</f>
        <v>Low Sales</v>
      </c>
    </row>
    <row r="894" spans="1:13" x14ac:dyDescent="0.3">
      <c r="A894" t="s">
        <v>861</v>
      </c>
      <c r="B894" t="s">
        <v>1658</v>
      </c>
      <c r="C894" s="1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  <c r="K894" t="str">
        <f>TEXT(Table1[[#This Row],[PurchaseDate]],"mmm")</f>
        <v>Apr</v>
      </c>
      <c r="L894">
        <f>YEAR(Table1[[#This Row],[PurchaseDate]])</f>
        <v>2025</v>
      </c>
      <c r="M894" t="str">
        <f>IF(Table1[[#This Row],[TotalPrice]]&gt;2000,"High Sales","Low Sales")</f>
        <v>High Sales</v>
      </c>
    </row>
    <row r="895" spans="1:13" x14ac:dyDescent="0.3">
      <c r="A895" t="s">
        <v>862</v>
      </c>
      <c r="B895" t="s">
        <v>1652</v>
      </c>
      <c r="C895" s="1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  <c r="K895" t="str">
        <f>TEXT(Table1[[#This Row],[PurchaseDate]],"mmm")</f>
        <v>Jul</v>
      </c>
      <c r="L895">
        <f>YEAR(Table1[[#This Row],[PurchaseDate]])</f>
        <v>2024</v>
      </c>
      <c r="M895" t="str">
        <f>IF(Table1[[#This Row],[TotalPrice]]&gt;2000,"High Sales","Low Sales")</f>
        <v>High Sales</v>
      </c>
    </row>
    <row r="896" spans="1:13" x14ac:dyDescent="0.3">
      <c r="A896" t="s">
        <v>863</v>
      </c>
      <c r="B896" t="s">
        <v>1652</v>
      </c>
      <c r="C896" s="1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  <c r="K896" t="str">
        <f>TEXT(Table1[[#This Row],[PurchaseDate]],"mmm")</f>
        <v>Nov</v>
      </c>
      <c r="L896">
        <f>YEAR(Table1[[#This Row],[PurchaseDate]])</f>
        <v>2024</v>
      </c>
      <c r="M896" t="str">
        <f>IF(Table1[[#This Row],[TotalPrice]]&gt;2000,"High Sales","Low Sales")</f>
        <v>Low Sales</v>
      </c>
    </row>
    <row r="897" spans="1:13" x14ac:dyDescent="0.3">
      <c r="A897" t="s">
        <v>864</v>
      </c>
      <c r="B897" t="s">
        <v>1652</v>
      </c>
      <c r="C897" s="1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  <c r="K897" t="str">
        <f>TEXT(Table1[[#This Row],[PurchaseDate]],"mmm")</f>
        <v>May</v>
      </c>
      <c r="L897">
        <f>YEAR(Table1[[#This Row],[PurchaseDate]])</f>
        <v>2023</v>
      </c>
      <c r="M897" t="str">
        <f>IF(Table1[[#This Row],[TotalPrice]]&gt;2000,"High Sales","Low Sales")</f>
        <v>High Sales</v>
      </c>
    </row>
    <row r="898" spans="1:13" x14ac:dyDescent="0.3">
      <c r="A898" t="s">
        <v>865</v>
      </c>
      <c r="B898" t="s">
        <v>1655</v>
      </c>
      <c r="C898" s="1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  <c r="K898" t="str">
        <f>TEXT(Table1[[#This Row],[PurchaseDate]],"mmm")</f>
        <v>Feb</v>
      </c>
      <c r="L898">
        <f>YEAR(Table1[[#This Row],[PurchaseDate]])</f>
        <v>2024</v>
      </c>
      <c r="M898" t="str">
        <f>IF(Table1[[#This Row],[TotalPrice]]&gt;2000,"High Sales","Low Sales")</f>
        <v>Low Sales</v>
      </c>
    </row>
    <row r="899" spans="1:13" x14ac:dyDescent="0.3">
      <c r="A899" t="s">
        <v>866</v>
      </c>
      <c r="B899" t="s">
        <v>1656</v>
      </c>
      <c r="C899" s="1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  <c r="K899" t="str">
        <f>TEXT(Table1[[#This Row],[PurchaseDate]],"mmm")</f>
        <v>Aug</v>
      </c>
      <c r="L899">
        <f>YEAR(Table1[[#This Row],[PurchaseDate]])</f>
        <v>2023</v>
      </c>
      <c r="M899" t="str">
        <f>IF(Table1[[#This Row],[TotalPrice]]&gt;2000,"High Sales","Low Sales")</f>
        <v>High Sales</v>
      </c>
    </row>
    <row r="900" spans="1:13" x14ac:dyDescent="0.3">
      <c r="A900" t="s">
        <v>867</v>
      </c>
      <c r="B900" t="s">
        <v>1652</v>
      </c>
      <c r="C900" s="1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  <c r="K900" t="str">
        <f>TEXT(Table1[[#This Row],[PurchaseDate]],"mmm")</f>
        <v>Mar</v>
      </c>
      <c r="L900">
        <f>YEAR(Table1[[#This Row],[PurchaseDate]])</f>
        <v>2024</v>
      </c>
      <c r="M900" t="str">
        <f>IF(Table1[[#This Row],[TotalPrice]]&gt;2000,"High Sales","Low Sales")</f>
        <v>Low Sales</v>
      </c>
    </row>
    <row r="901" spans="1:13" x14ac:dyDescent="0.3">
      <c r="A901" t="s">
        <v>868</v>
      </c>
      <c r="B901" t="s">
        <v>1657</v>
      </c>
      <c r="C901" s="1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  <c r="K901" t="str">
        <f>TEXT(Table1[[#This Row],[PurchaseDate]],"mmm")</f>
        <v>Feb</v>
      </c>
      <c r="L901">
        <f>YEAR(Table1[[#This Row],[PurchaseDate]])</f>
        <v>2025</v>
      </c>
      <c r="M901" t="str">
        <f>IF(Table1[[#This Row],[TotalPrice]]&gt;2000,"High Sales","Low Sales")</f>
        <v>High Sales</v>
      </c>
    </row>
    <row r="902" spans="1:13" x14ac:dyDescent="0.3">
      <c r="A902" t="s">
        <v>869</v>
      </c>
      <c r="B902" t="s">
        <v>1652</v>
      </c>
      <c r="C902" s="1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  <c r="K902" t="str">
        <f>TEXT(Table1[[#This Row],[PurchaseDate]],"mmm")</f>
        <v>Apr</v>
      </c>
      <c r="L902">
        <f>YEAR(Table1[[#This Row],[PurchaseDate]])</f>
        <v>2025</v>
      </c>
      <c r="M902" t="str">
        <f>IF(Table1[[#This Row],[TotalPrice]]&gt;2000,"High Sales","Low Sales")</f>
        <v>Low Sales</v>
      </c>
    </row>
    <row r="903" spans="1:13" x14ac:dyDescent="0.3">
      <c r="A903" t="s">
        <v>870</v>
      </c>
      <c r="B903" t="s">
        <v>1657</v>
      </c>
      <c r="C903" s="1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  <c r="K903" t="str">
        <f>TEXT(Table1[[#This Row],[PurchaseDate]],"mmm")</f>
        <v>Mar</v>
      </c>
      <c r="L903">
        <f>YEAR(Table1[[#This Row],[PurchaseDate]])</f>
        <v>2023</v>
      </c>
      <c r="M903" t="str">
        <f>IF(Table1[[#This Row],[TotalPrice]]&gt;2000,"High Sales","Low Sales")</f>
        <v>Low Sales</v>
      </c>
    </row>
    <row r="904" spans="1:13" x14ac:dyDescent="0.3">
      <c r="A904" t="s">
        <v>871</v>
      </c>
      <c r="B904" t="s">
        <v>1658</v>
      </c>
      <c r="C904" s="1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  <c r="K904" t="str">
        <f>TEXT(Table1[[#This Row],[PurchaseDate]],"mmm")</f>
        <v>Mar</v>
      </c>
      <c r="L904">
        <f>YEAR(Table1[[#This Row],[PurchaseDate]])</f>
        <v>2025</v>
      </c>
      <c r="M904" t="str">
        <f>IF(Table1[[#This Row],[TotalPrice]]&gt;2000,"High Sales","Low Sales")</f>
        <v>Low Sales</v>
      </c>
    </row>
    <row r="905" spans="1:13" x14ac:dyDescent="0.3">
      <c r="A905" t="s">
        <v>872</v>
      </c>
      <c r="B905" t="s">
        <v>1655</v>
      </c>
      <c r="C905" s="1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  <c r="K905" t="str">
        <f>TEXT(Table1[[#This Row],[PurchaseDate]],"mmm")</f>
        <v>Mar</v>
      </c>
      <c r="L905">
        <f>YEAR(Table1[[#This Row],[PurchaseDate]])</f>
        <v>2023</v>
      </c>
      <c r="M905" t="str">
        <f>IF(Table1[[#This Row],[TotalPrice]]&gt;2000,"High Sales","Low Sales")</f>
        <v>Low Sales</v>
      </c>
    </row>
    <row r="906" spans="1:13" x14ac:dyDescent="0.3">
      <c r="A906" t="s">
        <v>873</v>
      </c>
      <c r="B906" t="s">
        <v>1655</v>
      </c>
      <c r="C906" s="1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  <c r="K906" t="str">
        <f>TEXT(Table1[[#This Row],[PurchaseDate]],"mmm")</f>
        <v>Nov</v>
      </c>
      <c r="L906">
        <f>YEAR(Table1[[#This Row],[PurchaseDate]])</f>
        <v>2023</v>
      </c>
      <c r="M906" t="str">
        <f>IF(Table1[[#This Row],[TotalPrice]]&gt;2000,"High Sales","Low Sales")</f>
        <v>Low Sales</v>
      </c>
    </row>
    <row r="907" spans="1:13" x14ac:dyDescent="0.3">
      <c r="A907" t="s">
        <v>874</v>
      </c>
      <c r="B907" t="s">
        <v>1653</v>
      </c>
      <c r="C907" s="1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  <c r="K907" t="str">
        <f>TEXT(Table1[[#This Row],[PurchaseDate]],"mmm")</f>
        <v>May</v>
      </c>
      <c r="L907">
        <f>YEAR(Table1[[#This Row],[PurchaseDate]])</f>
        <v>2025</v>
      </c>
      <c r="M907" t="str">
        <f>IF(Table1[[#This Row],[TotalPrice]]&gt;2000,"High Sales","Low Sales")</f>
        <v>Low Sales</v>
      </c>
    </row>
    <row r="908" spans="1:13" x14ac:dyDescent="0.3">
      <c r="A908" t="s">
        <v>875</v>
      </c>
      <c r="B908" t="s">
        <v>1654</v>
      </c>
      <c r="C908" s="1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  <c r="K908" t="str">
        <f>TEXT(Table1[[#This Row],[PurchaseDate]],"mmm")</f>
        <v>Nov</v>
      </c>
      <c r="L908">
        <f>YEAR(Table1[[#This Row],[PurchaseDate]])</f>
        <v>2023</v>
      </c>
      <c r="M908" t="str">
        <f>IF(Table1[[#This Row],[TotalPrice]]&gt;2000,"High Sales","Low Sales")</f>
        <v>High Sales</v>
      </c>
    </row>
    <row r="909" spans="1:13" x14ac:dyDescent="0.3">
      <c r="A909" t="s">
        <v>876</v>
      </c>
      <c r="B909" t="s">
        <v>1653</v>
      </c>
      <c r="C909" s="1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  <c r="K909" t="str">
        <f>TEXT(Table1[[#This Row],[PurchaseDate]],"mmm")</f>
        <v>Nov</v>
      </c>
      <c r="L909">
        <f>YEAR(Table1[[#This Row],[PurchaseDate]])</f>
        <v>2024</v>
      </c>
      <c r="M909" t="str">
        <f>IF(Table1[[#This Row],[TotalPrice]]&gt;2000,"High Sales","Low Sales")</f>
        <v>Low Sales</v>
      </c>
    </row>
    <row r="910" spans="1:13" x14ac:dyDescent="0.3">
      <c r="A910" t="s">
        <v>877</v>
      </c>
      <c r="B910" t="s">
        <v>1657</v>
      </c>
      <c r="C910" s="1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  <c r="K910" t="str">
        <f>TEXT(Table1[[#This Row],[PurchaseDate]],"mmm")</f>
        <v>May</v>
      </c>
      <c r="L910">
        <f>YEAR(Table1[[#This Row],[PurchaseDate]])</f>
        <v>2024</v>
      </c>
      <c r="M910" t="str">
        <f>IF(Table1[[#This Row],[TotalPrice]]&gt;2000,"High Sales","Low Sales")</f>
        <v>Low Sales</v>
      </c>
    </row>
    <row r="911" spans="1:13" x14ac:dyDescent="0.3">
      <c r="A911" t="s">
        <v>748</v>
      </c>
      <c r="B911" t="s">
        <v>1653</v>
      </c>
      <c r="C911" s="1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  <c r="K911" t="str">
        <f>TEXT(Table1[[#This Row],[PurchaseDate]],"mmm")</f>
        <v>Jul</v>
      </c>
      <c r="L911">
        <f>YEAR(Table1[[#This Row],[PurchaseDate]])</f>
        <v>2024</v>
      </c>
      <c r="M911" t="str">
        <f>IF(Table1[[#This Row],[TotalPrice]]&gt;2000,"High Sales","Low Sales")</f>
        <v>Low Sales</v>
      </c>
    </row>
    <row r="912" spans="1:13" x14ac:dyDescent="0.3">
      <c r="A912" t="s">
        <v>878</v>
      </c>
      <c r="B912" t="s">
        <v>1657</v>
      </c>
      <c r="C912" s="1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  <c r="K912" t="str">
        <f>TEXT(Table1[[#This Row],[PurchaseDate]],"mmm")</f>
        <v>Feb</v>
      </c>
      <c r="L912">
        <f>YEAR(Table1[[#This Row],[PurchaseDate]])</f>
        <v>2023</v>
      </c>
      <c r="M912" t="str">
        <f>IF(Table1[[#This Row],[TotalPrice]]&gt;2000,"High Sales","Low Sales")</f>
        <v>Low Sales</v>
      </c>
    </row>
    <row r="913" spans="1:13" x14ac:dyDescent="0.3">
      <c r="A913" t="s">
        <v>117</v>
      </c>
      <c r="B913" t="s">
        <v>1658</v>
      </c>
      <c r="C913" s="1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  <c r="K913" t="str">
        <f>TEXT(Table1[[#This Row],[PurchaseDate]],"mmm")</f>
        <v>Jul</v>
      </c>
      <c r="L913">
        <f>YEAR(Table1[[#This Row],[PurchaseDate]])</f>
        <v>2023</v>
      </c>
      <c r="M913" t="str">
        <f>IF(Table1[[#This Row],[TotalPrice]]&gt;2000,"High Sales","Low Sales")</f>
        <v>Low Sales</v>
      </c>
    </row>
    <row r="914" spans="1:13" x14ac:dyDescent="0.3">
      <c r="A914" t="s">
        <v>499</v>
      </c>
      <c r="B914" t="s">
        <v>1652</v>
      </c>
      <c r="C914" s="1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  <c r="K914" t="str">
        <f>TEXT(Table1[[#This Row],[PurchaseDate]],"mmm")</f>
        <v>Sep</v>
      </c>
      <c r="L914">
        <f>YEAR(Table1[[#This Row],[PurchaseDate]])</f>
        <v>2024</v>
      </c>
      <c r="M914" t="str">
        <f>IF(Table1[[#This Row],[TotalPrice]]&gt;2000,"High Sales","Low Sales")</f>
        <v>Low Sales</v>
      </c>
    </row>
    <row r="915" spans="1:13" x14ac:dyDescent="0.3">
      <c r="A915" t="s">
        <v>879</v>
      </c>
      <c r="B915" t="s">
        <v>1657</v>
      </c>
      <c r="C915" s="1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  <c r="K915" t="str">
        <f>TEXT(Table1[[#This Row],[PurchaseDate]],"mmm")</f>
        <v>Sep</v>
      </c>
      <c r="L915">
        <f>YEAR(Table1[[#This Row],[PurchaseDate]])</f>
        <v>2023</v>
      </c>
      <c r="M915" t="str">
        <f>IF(Table1[[#This Row],[TotalPrice]]&gt;2000,"High Sales","Low Sales")</f>
        <v>Low Sales</v>
      </c>
    </row>
    <row r="916" spans="1:13" x14ac:dyDescent="0.3">
      <c r="A916" t="s">
        <v>485</v>
      </c>
      <c r="B916" t="s">
        <v>1655</v>
      </c>
      <c r="C916" s="1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  <c r="K916" t="str">
        <f>TEXT(Table1[[#This Row],[PurchaseDate]],"mmm")</f>
        <v>Jul</v>
      </c>
      <c r="L916">
        <f>YEAR(Table1[[#This Row],[PurchaseDate]])</f>
        <v>2023</v>
      </c>
      <c r="M916" t="str">
        <f>IF(Table1[[#This Row],[TotalPrice]]&gt;2000,"High Sales","Low Sales")</f>
        <v>Low Sales</v>
      </c>
    </row>
    <row r="917" spans="1:13" x14ac:dyDescent="0.3">
      <c r="A917" t="s">
        <v>880</v>
      </c>
      <c r="B917" t="s">
        <v>1658</v>
      </c>
      <c r="C917" s="1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  <c r="K917" t="str">
        <f>TEXT(Table1[[#This Row],[PurchaseDate]],"mmm")</f>
        <v>Apr</v>
      </c>
      <c r="L917">
        <f>YEAR(Table1[[#This Row],[PurchaseDate]])</f>
        <v>2023</v>
      </c>
      <c r="M917" t="str">
        <f>IF(Table1[[#This Row],[TotalPrice]]&gt;2000,"High Sales","Low Sales")</f>
        <v>High Sales</v>
      </c>
    </row>
    <row r="918" spans="1:13" x14ac:dyDescent="0.3">
      <c r="A918" t="s">
        <v>21</v>
      </c>
      <c r="B918" t="s">
        <v>1658</v>
      </c>
      <c r="C918" s="1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  <c r="K918" t="str">
        <f>TEXT(Table1[[#This Row],[PurchaseDate]],"mmm")</f>
        <v>May</v>
      </c>
      <c r="L918">
        <f>YEAR(Table1[[#This Row],[PurchaseDate]])</f>
        <v>2024</v>
      </c>
      <c r="M918" t="str">
        <f>IF(Table1[[#This Row],[TotalPrice]]&gt;2000,"High Sales","Low Sales")</f>
        <v>High Sales</v>
      </c>
    </row>
    <row r="919" spans="1:13" x14ac:dyDescent="0.3">
      <c r="A919" t="s">
        <v>156</v>
      </c>
      <c r="B919" t="s">
        <v>1657</v>
      </c>
      <c r="C919" s="1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  <c r="K919" t="str">
        <f>TEXT(Table1[[#This Row],[PurchaseDate]],"mmm")</f>
        <v>Sep</v>
      </c>
      <c r="L919">
        <f>YEAR(Table1[[#This Row],[PurchaseDate]])</f>
        <v>2023</v>
      </c>
      <c r="M919" t="str">
        <f>IF(Table1[[#This Row],[TotalPrice]]&gt;2000,"High Sales","Low Sales")</f>
        <v>High Sales</v>
      </c>
    </row>
    <row r="920" spans="1:13" x14ac:dyDescent="0.3">
      <c r="A920" t="s">
        <v>881</v>
      </c>
      <c r="B920" t="s">
        <v>1654</v>
      </c>
      <c r="C920" s="1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  <c r="K920" t="str">
        <f>TEXT(Table1[[#This Row],[PurchaseDate]],"mmm")</f>
        <v>Aug</v>
      </c>
      <c r="L920">
        <f>YEAR(Table1[[#This Row],[PurchaseDate]])</f>
        <v>2023</v>
      </c>
      <c r="M920" t="str">
        <f>IF(Table1[[#This Row],[TotalPrice]]&gt;2000,"High Sales","Low Sales")</f>
        <v>Low Sales</v>
      </c>
    </row>
    <row r="921" spans="1:13" x14ac:dyDescent="0.3">
      <c r="A921" t="s">
        <v>882</v>
      </c>
      <c r="B921" t="s">
        <v>1653</v>
      </c>
      <c r="C921" s="1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  <c r="K921" t="str">
        <f>TEXT(Table1[[#This Row],[PurchaseDate]],"mmm")</f>
        <v>Jun</v>
      </c>
      <c r="L921">
        <f>YEAR(Table1[[#This Row],[PurchaseDate]])</f>
        <v>2025</v>
      </c>
      <c r="M921" t="str">
        <f>IF(Table1[[#This Row],[TotalPrice]]&gt;2000,"High Sales","Low Sales")</f>
        <v>Low Sales</v>
      </c>
    </row>
    <row r="922" spans="1:13" x14ac:dyDescent="0.3">
      <c r="A922" t="s">
        <v>883</v>
      </c>
      <c r="B922" t="s">
        <v>1652</v>
      </c>
      <c r="C922" s="1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  <c r="K922" t="str">
        <f>TEXT(Table1[[#This Row],[PurchaseDate]],"mmm")</f>
        <v>Jun</v>
      </c>
      <c r="L922">
        <f>YEAR(Table1[[#This Row],[PurchaseDate]])</f>
        <v>2024</v>
      </c>
      <c r="M922" t="str">
        <f>IF(Table1[[#This Row],[TotalPrice]]&gt;2000,"High Sales","Low Sales")</f>
        <v>Low Sales</v>
      </c>
    </row>
    <row r="923" spans="1:13" x14ac:dyDescent="0.3">
      <c r="A923" t="s">
        <v>884</v>
      </c>
      <c r="B923" t="s">
        <v>1652</v>
      </c>
      <c r="C923" s="1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  <c r="K923" t="str">
        <f>TEXT(Table1[[#This Row],[PurchaseDate]],"mmm")</f>
        <v>Jan</v>
      </c>
      <c r="L923">
        <f>YEAR(Table1[[#This Row],[PurchaseDate]])</f>
        <v>2023</v>
      </c>
      <c r="M923" t="str">
        <f>IF(Table1[[#This Row],[TotalPrice]]&gt;2000,"High Sales","Low Sales")</f>
        <v>Low Sales</v>
      </c>
    </row>
    <row r="924" spans="1:13" x14ac:dyDescent="0.3">
      <c r="A924" t="s">
        <v>885</v>
      </c>
      <c r="B924" t="s">
        <v>1653</v>
      </c>
      <c r="C924" s="1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  <c r="K924" t="str">
        <f>TEXT(Table1[[#This Row],[PurchaseDate]],"mmm")</f>
        <v>May</v>
      </c>
      <c r="L924">
        <f>YEAR(Table1[[#This Row],[PurchaseDate]])</f>
        <v>2025</v>
      </c>
      <c r="M924" t="str">
        <f>IF(Table1[[#This Row],[TotalPrice]]&gt;2000,"High Sales","Low Sales")</f>
        <v>Low Sales</v>
      </c>
    </row>
    <row r="925" spans="1:13" x14ac:dyDescent="0.3">
      <c r="A925" t="s">
        <v>886</v>
      </c>
      <c r="B925" t="s">
        <v>1657</v>
      </c>
      <c r="C925" s="1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  <c r="K925" t="str">
        <f>TEXT(Table1[[#This Row],[PurchaseDate]],"mmm")</f>
        <v>Apr</v>
      </c>
      <c r="L925">
        <f>YEAR(Table1[[#This Row],[PurchaseDate]])</f>
        <v>2024</v>
      </c>
      <c r="M925" t="str">
        <f>IF(Table1[[#This Row],[TotalPrice]]&gt;2000,"High Sales","Low Sales")</f>
        <v>Low Sales</v>
      </c>
    </row>
    <row r="926" spans="1:13" x14ac:dyDescent="0.3">
      <c r="A926" t="s">
        <v>827</v>
      </c>
      <c r="B926" t="s">
        <v>1656</v>
      </c>
      <c r="C926" s="1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  <c r="K926" t="str">
        <f>TEXT(Table1[[#This Row],[PurchaseDate]],"mmm")</f>
        <v>Jun</v>
      </c>
      <c r="L926">
        <f>YEAR(Table1[[#This Row],[PurchaseDate]])</f>
        <v>2023</v>
      </c>
      <c r="M926" t="str">
        <f>IF(Table1[[#This Row],[TotalPrice]]&gt;2000,"High Sales","Low Sales")</f>
        <v>High Sales</v>
      </c>
    </row>
    <row r="927" spans="1:13" x14ac:dyDescent="0.3">
      <c r="A927" t="s">
        <v>887</v>
      </c>
      <c r="B927" t="s">
        <v>1653</v>
      </c>
      <c r="C927" s="1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  <c r="K927" t="str">
        <f>TEXT(Table1[[#This Row],[PurchaseDate]],"mmm")</f>
        <v>Nov</v>
      </c>
      <c r="L927">
        <f>YEAR(Table1[[#This Row],[PurchaseDate]])</f>
        <v>2023</v>
      </c>
      <c r="M927" t="str">
        <f>IF(Table1[[#This Row],[TotalPrice]]&gt;2000,"High Sales","Low Sales")</f>
        <v>Low Sales</v>
      </c>
    </row>
    <row r="928" spans="1:13" x14ac:dyDescent="0.3">
      <c r="A928" t="s">
        <v>888</v>
      </c>
      <c r="B928" t="s">
        <v>1652</v>
      </c>
      <c r="C928" s="1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  <c r="K928" t="str">
        <f>TEXT(Table1[[#This Row],[PurchaseDate]],"mmm")</f>
        <v>Nov</v>
      </c>
      <c r="L928">
        <f>YEAR(Table1[[#This Row],[PurchaseDate]])</f>
        <v>2023</v>
      </c>
      <c r="M928" t="str">
        <f>IF(Table1[[#This Row],[TotalPrice]]&gt;2000,"High Sales","Low Sales")</f>
        <v>High Sales</v>
      </c>
    </row>
    <row r="929" spans="1:13" x14ac:dyDescent="0.3">
      <c r="A929" t="s">
        <v>889</v>
      </c>
      <c r="B929" t="s">
        <v>1652</v>
      </c>
      <c r="C929" s="1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  <c r="K929" t="str">
        <f>TEXT(Table1[[#This Row],[PurchaseDate]],"mmm")</f>
        <v>Jun</v>
      </c>
      <c r="L929">
        <f>YEAR(Table1[[#This Row],[PurchaseDate]])</f>
        <v>2025</v>
      </c>
      <c r="M929" t="str">
        <f>IF(Table1[[#This Row],[TotalPrice]]&gt;2000,"High Sales","Low Sales")</f>
        <v>Low Sales</v>
      </c>
    </row>
    <row r="930" spans="1:13" x14ac:dyDescent="0.3">
      <c r="A930" t="s">
        <v>890</v>
      </c>
      <c r="B930" t="s">
        <v>1655</v>
      </c>
      <c r="C930" s="1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  <c r="K930" t="str">
        <f>TEXT(Table1[[#This Row],[PurchaseDate]],"mmm")</f>
        <v>Feb</v>
      </c>
      <c r="L930">
        <f>YEAR(Table1[[#This Row],[PurchaseDate]])</f>
        <v>2025</v>
      </c>
      <c r="M930" t="str">
        <f>IF(Table1[[#This Row],[TotalPrice]]&gt;2000,"High Sales","Low Sales")</f>
        <v>Low Sales</v>
      </c>
    </row>
    <row r="931" spans="1:13" x14ac:dyDescent="0.3">
      <c r="A931" t="s">
        <v>891</v>
      </c>
      <c r="B931" t="s">
        <v>1655</v>
      </c>
      <c r="C931" s="1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  <c r="K931" t="str">
        <f>TEXT(Table1[[#This Row],[PurchaseDate]],"mmm")</f>
        <v>Apr</v>
      </c>
      <c r="L931">
        <f>YEAR(Table1[[#This Row],[PurchaseDate]])</f>
        <v>2023</v>
      </c>
      <c r="M931" t="str">
        <f>IF(Table1[[#This Row],[TotalPrice]]&gt;2000,"High Sales","Low Sales")</f>
        <v>Low Sales</v>
      </c>
    </row>
    <row r="932" spans="1:13" x14ac:dyDescent="0.3">
      <c r="A932" t="s">
        <v>892</v>
      </c>
      <c r="B932" t="s">
        <v>1654</v>
      </c>
      <c r="C932" s="1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  <c r="K932" t="str">
        <f>TEXT(Table1[[#This Row],[PurchaseDate]],"mmm")</f>
        <v>Jun</v>
      </c>
      <c r="L932">
        <f>YEAR(Table1[[#This Row],[PurchaseDate]])</f>
        <v>2024</v>
      </c>
      <c r="M932" t="str">
        <f>IF(Table1[[#This Row],[TotalPrice]]&gt;2000,"High Sales","Low Sales")</f>
        <v>High Sales</v>
      </c>
    </row>
    <row r="933" spans="1:13" x14ac:dyDescent="0.3">
      <c r="A933" t="s">
        <v>893</v>
      </c>
      <c r="B933" t="s">
        <v>1653</v>
      </c>
      <c r="C933" s="1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  <c r="K933" t="str">
        <f>TEXT(Table1[[#This Row],[PurchaseDate]],"mmm")</f>
        <v>Sep</v>
      </c>
      <c r="L933">
        <f>YEAR(Table1[[#This Row],[PurchaseDate]])</f>
        <v>2023</v>
      </c>
      <c r="M933" t="str">
        <f>IF(Table1[[#This Row],[TotalPrice]]&gt;2000,"High Sales","Low Sales")</f>
        <v>High Sales</v>
      </c>
    </row>
    <row r="934" spans="1:13" x14ac:dyDescent="0.3">
      <c r="A934" t="s">
        <v>894</v>
      </c>
      <c r="B934" t="s">
        <v>1652</v>
      </c>
      <c r="C934" s="1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  <c r="K934" t="str">
        <f>TEXT(Table1[[#This Row],[PurchaseDate]],"mmm")</f>
        <v>Dec</v>
      </c>
      <c r="L934">
        <f>YEAR(Table1[[#This Row],[PurchaseDate]])</f>
        <v>2024</v>
      </c>
      <c r="M934" t="str">
        <f>IF(Table1[[#This Row],[TotalPrice]]&gt;2000,"High Sales","Low Sales")</f>
        <v>High Sales</v>
      </c>
    </row>
    <row r="935" spans="1:13" x14ac:dyDescent="0.3">
      <c r="A935" t="s">
        <v>895</v>
      </c>
      <c r="B935" t="s">
        <v>1656</v>
      </c>
      <c r="C935" s="1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  <c r="K935" t="str">
        <f>TEXT(Table1[[#This Row],[PurchaseDate]],"mmm")</f>
        <v>Jan</v>
      </c>
      <c r="L935">
        <f>YEAR(Table1[[#This Row],[PurchaseDate]])</f>
        <v>2025</v>
      </c>
      <c r="M935" t="str">
        <f>IF(Table1[[#This Row],[TotalPrice]]&gt;2000,"High Sales","Low Sales")</f>
        <v>Low Sales</v>
      </c>
    </row>
    <row r="936" spans="1:13" x14ac:dyDescent="0.3">
      <c r="A936" t="s">
        <v>896</v>
      </c>
      <c r="B936" t="s">
        <v>1654</v>
      </c>
      <c r="C936" s="1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  <c r="K936" t="str">
        <f>TEXT(Table1[[#This Row],[PurchaseDate]],"mmm")</f>
        <v>Jan</v>
      </c>
      <c r="L936">
        <f>YEAR(Table1[[#This Row],[PurchaseDate]])</f>
        <v>2024</v>
      </c>
      <c r="M936" t="str">
        <f>IF(Table1[[#This Row],[TotalPrice]]&gt;2000,"High Sales","Low Sales")</f>
        <v>Low Sales</v>
      </c>
    </row>
    <row r="937" spans="1:13" x14ac:dyDescent="0.3">
      <c r="A937" t="s">
        <v>897</v>
      </c>
      <c r="B937" t="s">
        <v>1653</v>
      </c>
      <c r="C937" s="1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  <c r="K937" t="str">
        <f>TEXT(Table1[[#This Row],[PurchaseDate]],"mmm")</f>
        <v>May</v>
      </c>
      <c r="L937">
        <f>YEAR(Table1[[#This Row],[PurchaseDate]])</f>
        <v>2025</v>
      </c>
      <c r="M937" t="str">
        <f>IF(Table1[[#This Row],[TotalPrice]]&gt;2000,"High Sales","Low Sales")</f>
        <v>Low Sales</v>
      </c>
    </row>
    <row r="938" spans="1:13" x14ac:dyDescent="0.3">
      <c r="A938" t="s">
        <v>898</v>
      </c>
      <c r="B938" t="s">
        <v>1658</v>
      </c>
      <c r="C938" s="1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  <c r="K938" t="str">
        <f>TEXT(Table1[[#This Row],[PurchaseDate]],"mmm")</f>
        <v>May</v>
      </c>
      <c r="L938">
        <f>YEAR(Table1[[#This Row],[PurchaseDate]])</f>
        <v>2025</v>
      </c>
      <c r="M938" t="str">
        <f>IF(Table1[[#This Row],[TotalPrice]]&gt;2000,"High Sales","Low Sales")</f>
        <v>High Sales</v>
      </c>
    </row>
    <row r="939" spans="1:13" x14ac:dyDescent="0.3">
      <c r="A939" t="s">
        <v>899</v>
      </c>
      <c r="B939" t="s">
        <v>1656</v>
      </c>
      <c r="C939" s="1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  <c r="K939" t="str">
        <f>TEXT(Table1[[#This Row],[PurchaseDate]],"mmm")</f>
        <v>Sep</v>
      </c>
      <c r="L939">
        <f>YEAR(Table1[[#This Row],[PurchaseDate]])</f>
        <v>2024</v>
      </c>
      <c r="M939" t="str">
        <f>IF(Table1[[#This Row],[TotalPrice]]&gt;2000,"High Sales","Low Sales")</f>
        <v>Low Sales</v>
      </c>
    </row>
    <row r="940" spans="1:13" x14ac:dyDescent="0.3">
      <c r="A940" t="s">
        <v>900</v>
      </c>
      <c r="B940" t="s">
        <v>1654</v>
      </c>
      <c r="C940" s="1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  <c r="K940" t="str">
        <f>TEXT(Table1[[#This Row],[PurchaseDate]],"mmm")</f>
        <v>Nov</v>
      </c>
      <c r="L940">
        <f>YEAR(Table1[[#This Row],[PurchaseDate]])</f>
        <v>2023</v>
      </c>
      <c r="M940" t="str">
        <f>IF(Table1[[#This Row],[TotalPrice]]&gt;2000,"High Sales","Low Sales")</f>
        <v>Low Sales</v>
      </c>
    </row>
    <row r="941" spans="1:13" x14ac:dyDescent="0.3">
      <c r="A941" t="s">
        <v>901</v>
      </c>
      <c r="B941" t="s">
        <v>1653</v>
      </c>
      <c r="C941" s="1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  <c r="K941" t="str">
        <f>TEXT(Table1[[#This Row],[PurchaseDate]],"mmm")</f>
        <v>Jan</v>
      </c>
      <c r="L941">
        <f>YEAR(Table1[[#This Row],[PurchaseDate]])</f>
        <v>2025</v>
      </c>
      <c r="M941" t="str">
        <f>IF(Table1[[#This Row],[TotalPrice]]&gt;2000,"High Sales","Low Sales")</f>
        <v>Low Sales</v>
      </c>
    </row>
    <row r="942" spans="1:13" x14ac:dyDescent="0.3">
      <c r="A942" t="s">
        <v>902</v>
      </c>
      <c r="B942" t="s">
        <v>1658</v>
      </c>
      <c r="C942" s="1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  <c r="K942" t="str">
        <f>TEXT(Table1[[#This Row],[PurchaseDate]],"mmm")</f>
        <v>Apr</v>
      </c>
      <c r="L942">
        <f>YEAR(Table1[[#This Row],[PurchaseDate]])</f>
        <v>2023</v>
      </c>
      <c r="M942" t="str">
        <f>IF(Table1[[#This Row],[TotalPrice]]&gt;2000,"High Sales","Low Sales")</f>
        <v>Low Sales</v>
      </c>
    </row>
    <row r="943" spans="1:13" x14ac:dyDescent="0.3">
      <c r="A943" t="s">
        <v>903</v>
      </c>
      <c r="B943" t="s">
        <v>1656</v>
      </c>
      <c r="C943" s="1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  <c r="K943" t="str">
        <f>TEXT(Table1[[#This Row],[PurchaseDate]],"mmm")</f>
        <v>Jun</v>
      </c>
      <c r="L943">
        <f>YEAR(Table1[[#This Row],[PurchaseDate]])</f>
        <v>2024</v>
      </c>
      <c r="M943" t="str">
        <f>IF(Table1[[#This Row],[TotalPrice]]&gt;2000,"High Sales","Low Sales")</f>
        <v>High Sales</v>
      </c>
    </row>
    <row r="944" spans="1:13" x14ac:dyDescent="0.3">
      <c r="A944" t="s">
        <v>904</v>
      </c>
      <c r="B944" t="s">
        <v>1654</v>
      </c>
      <c r="C944" s="1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  <c r="K944" t="str">
        <f>TEXT(Table1[[#This Row],[PurchaseDate]],"mmm")</f>
        <v>Jan</v>
      </c>
      <c r="L944">
        <f>YEAR(Table1[[#This Row],[PurchaseDate]])</f>
        <v>2023</v>
      </c>
      <c r="M944" t="str">
        <f>IF(Table1[[#This Row],[TotalPrice]]&gt;2000,"High Sales","Low Sales")</f>
        <v>High Sales</v>
      </c>
    </row>
    <row r="945" spans="1:13" x14ac:dyDescent="0.3">
      <c r="A945" t="s">
        <v>905</v>
      </c>
      <c r="B945" t="s">
        <v>1655</v>
      </c>
      <c r="C945" s="1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  <c r="K945" t="str">
        <f>TEXT(Table1[[#This Row],[PurchaseDate]],"mmm")</f>
        <v>Jun</v>
      </c>
      <c r="L945">
        <f>YEAR(Table1[[#This Row],[PurchaseDate]])</f>
        <v>2023</v>
      </c>
      <c r="M945" t="str">
        <f>IF(Table1[[#This Row],[TotalPrice]]&gt;2000,"High Sales","Low Sales")</f>
        <v>Low Sales</v>
      </c>
    </row>
    <row r="946" spans="1:13" x14ac:dyDescent="0.3">
      <c r="A946" t="s">
        <v>906</v>
      </c>
      <c r="B946" t="s">
        <v>1653</v>
      </c>
      <c r="C946" s="1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  <c r="K946" t="str">
        <f>TEXT(Table1[[#This Row],[PurchaseDate]],"mmm")</f>
        <v>Feb</v>
      </c>
      <c r="L946">
        <f>YEAR(Table1[[#This Row],[PurchaseDate]])</f>
        <v>2023</v>
      </c>
      <c r="M946" t="str">
        <f>IF(Table1[[#This Row],[TotalPrice]]&gt;2000,"High Sales","Low Sales")</f>
        <v>Low Sales</v>
      </c>
    </row>
    <row r="947" spans="1:13" x14ac:dyDescent="0.3">
      <c r="A947" t="s">
        <v>376</v>
      </c>
      <c r="B947" t="s">
        <v>1653</v>
      </c>
      <c r="C947" s="1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  <c r="K947" t="str">
        <f>TEXT(Table1[[#This Row],[PurchaseDate]],"mmm")</f>
        <v>May</v>
      </c>
      <c r="L947">
        <f>YEAR(Table1[[#This Row],[PurchaseDate]])</f>
        <v>2025</v>
      </c>
      <c r="M947" t="str">
        <f>IF(Table1[[#This Row],[TotalPrice]]&gt;2000,"High Sales","Low Sales")</f>
        <v>High Sales</v>
      </c>
    </row>
    <row r="948" spans="1:13" x14ac:dyDescent="0.3">
      <c r="A948" t="s">
        <v>907</v>
      </c>
      <c r="B948" t="s">
        <v>1658</v>
      </c>
      <c r="C948" s="1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  <c r="K948" t="str">
        <f>TEXT(Table1[[#This Row],[PurchaseDate]],"mmm")</f>
        <v>Dec</v>
      </c>
      <c r="L948">
        <f>YEAR(Table1[[#This Row],[PurchaseDate]])</f>
        <v>2023</v>
      </c>
      <c r="M948" t="str">
        <f>IF(Table1[[#This Row],[TotalPrice]]&gt;2000,"High Sales","Low Sales")</f>
        <v>High Sales</v>
      </c>
    </row>
    <row r="949" spans="1:13" x14ac:dyDescent="0.3">
      <c r="A949" t="s">
        <v>642</v>
      </c>
      <c r="B949" t="s">
        <v>1658</v>
      </c>
      <c r="C949" s="1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  <c r="K949" t="str">
        <f>TEXT(Table1[[#This Row],[PurchaseDate]],"mmm")</f>
        <v>Nov</v>
      </c>
      <c r="L949">
        <f>YEAR(Table1[[#This Row],[PurchaseDate]])</f>
        <v>2024</v>
      </c>
      <c r="M949" t="str">
        <f>IF(Table1[[#This Row],[TotalPrice]]&gt;2000,"High Sales","Low Sales")</f>
        <v>High Sales</v>
      </c>
    </row>
    <row r="950" spans="1:13" x14ac:dyDescent="0.3">
      <c r="A950" t="s">
        <v>908</v>
      </c>
      <c r="B950" t="s">
        <v>1652</v>
      </c>
      <c r="C950" s="1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  <c r="K950" t="str">
        <f>TEXT(Table1[[#This Row],[PurchaseDate]],"mmm")</f>
        <v>Feb</v>
      </c>
      <c r="L950">
        <f>YEAR(Table1[[#This Row],[PurchaseDate]])</f>
        <v>2025</v>
      </c>
      <c r="M950" t="str">
        <f>IF(Table1[[#This Row],[TotalPrice]]&gt;2000,"High Sales","Low Sales")</f>
        <v>High Sales</v>
      </c>
    </row>
    <row r="951" spans="1:13" x14ac:dyDescent="0.3">
      <c r="A951" t="s">
        <v>909</v>
      </c>
      <c r="B951" t="s">
        <v>1656</v>
      </c>
      <c r="C951" s="1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  <c r="K951" t="str">
        <f>TEXT(Table1[[#This Row],[PurchaseDate]],"mmm")</f>
        <v>Feb</v>
      </c>
      <c r="L951">
        <f>YEAR(Table1[[#This Row],[PurchaseDate]])</f>
        <v>2024</v>
      </c>
      <c r="M951" t="str">
        <f>IF(Table1[[#This Row],[TotalPrice]]&gt;2000,"High Sales","Low Sales")</f>
        <v>High Sales</v>
      </c>
    </row>
    <row r="952" spans="1:13" x14ac:dyDescent="0.3">
      <c r="A952" t="s">
        <v>910</v>
      </c>
      <c r="B952" t="s">
        <v>1656</v>
      </c>
      <c r="C952" s="1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  <c r="K952" t="str">
        <f>TEXT(Table1[[#This Row],[PurchaseDate]],"mmm")</f>
        <v>Feb</v>
      </c>
      <c r="L952">
        <f>YEAR(Table1[[#This Row],[PurchaseDate]])</f>
        <v>2023</v>
      </c>
      <c r="M952" t="str">
        <f>IF(Table1[[#This Row],[TotalPrice]]&gt;2000,"High Sales","Low Sales")</f>
        <v>Low Sales</v>
      </c>
    </row>
    <row r="953" spans="1:13" x14ac:dyDescent="0.3">
      <c r="A953" t="s">
        <v>911</v>
      </c>
      <c r="B953" t="s">
        <v>1657</v>
      </c>
      <c r="C953" s="1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  <c r="K953" t="str">
        <f>TEXT(Table1[[#This Row],[PurchaseDate]],"mmm")</f>
        <v>Jan</v>
      </c>
      <c r="L953">
        <f>YEAR(Table1[[#This Row],[PurchaseDate]])</f>
        <v>2025</v>
      </c>
      <c r="M953" t="str">
        <f>IF(Table1[[#This Row],[TotalPrice]]&gt;2000,"High Sales","Low Sales")</f>
        <v>High Sales</v>
      </c>
    </row>
    <row r="954" spans="1:13" x14ac:dyDescent="0.3">
      <c r="A954" t="s">
        <v>912</v>
      </c>
      <c r="B954" t="s">
        <v>1655</v>
      </c>
      <c r="C954" s="1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  <c r="K954" t="str">
        <f>TEXT(Table1[[#This Row],[PurchaseDate]],"mmm")</f>
        <v>Jan</v>
      </c>
      <c r="L954">
        <f>YEAR(Table1[[#This Row],[PurchaseDate]])</f>
        <v>2025</v>
      </c>
      <c r="M954" t="str">
        <f>IF(Table1[[#This Row],[TotalPrice]]&gt;2000,"High Sales","Low Sales")</f>
        <v>Low Sales</v>
      </c>
    </row>
    <row r="955" spans="1:13" x14ac:dyDescent="0.3">
      <c r="A955" t="s">
        <v>913</v>
      </c>
      <c r="B955" t="s">
        <v>1657</v>
      </c>
      <c r="C955" s="1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  <c r="K955" t="str">
        <f>TEXT(Table1[[#This Row],[PurchaseDate]],"mmm")</f>
        <v>Jan</v>
      </c>
      <c r="L955">
        <f>YEAR(Table1[[#This Row],[PurchaseDate]])</f>
        <v>2024</v>
      </c>
      <c r="M955" t="str">
        <f>IF(Table1[[#This Row],[TotalPrice]]&gt;2000,"High Sales","Low Sales")</f>
        <v>High Sales</v>
      </c>
    </row>
    <row r="956" spans="1:13" x14ac:dyDescent="0.3">
      <c r="A956" t="s">
        <v>914</v>
      </c>
      <c r="B956" t="s">
        <v>1652</v>
      </c>
      <c r="C956" s="1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  <c r="K956" t="str">
        <f>TEXT(Table1[[#This Row],[PurchaseDate]],"mmm")</f>
        <v>Aug</v>
      </c>
      <c r="L956">
        <f>YEAR(Table1[[#This Row],[PurchaseDate]])</f>
        <v>2023</v>
      </c>
      <c r="M956" t="str">
        <f>IF(Table1[[#This Row],[TotalPrice]]&gt;2000,"High Sales","Low Sales")</f>
        <v>High Sales</v>
      </c>
    </row>
    <row r="957" spans="1:13" x14ac:dyDescent="0.3">
      <c r="A957" t="s">
        <v>915</v>
      </c>
      <c r="B957" t="s">
        <v>1652</v>
      </c>
      <c r="C957" s="1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  <c r="K957" t="str">
        <f>TEXT(Table1[[#This Row],[PurchaseDate]],"mmm")</f>
        <v>Mar</v>
      </c>
      <c r="L957">
        <f>YEAR(Table1[[#This Row],[PurchaseDate]])</f>
        <v>2023</v>
      </c>
      <c r="M957" t="str">
        <f>IF(Table1[[#This Row],[TotalPrice]]&gt;2000,"High Sales","Low Sales")</f>
        <v>High Sales</v>
      </c>
    </row>
    <row r="958" spans="1:13" x14ac:dyDescent="0.3">
      <c r="A958" t="s">
        <v>916</v>
      </c>
      <c r="B958" t="s">
        <v>1657</v>
      </c>
      <c r="C958" s="1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  <c r="K958" t="str">
        <f>TEXT(Table1[[#This Row],[PurchaseDate]],"mmm")</f>
        <v>Jan</v>
      </c>
      <c r="L958">
        <f>YEAR(Table1[[#This Row],[PurchaseDate]])</f>
        <v>2024</v>
      </c>
      <c r="M958" t="str">
        <f>IF(Table1[[#This Row],[TotalPrice]]&gt;2000,"High Sales","Low Sales")</f>
        <v>Low Sales</v>
      </c>
    </row>
    <row r="959" spans="1:13" x14ac:dyDescent="0.3">
      <c r="A959" t="s">
        <v>917</v>
      </c>
      <c r="B959" t="s">
        <v>1656</v>
      </c>
      <c r="C959" s="1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  <c r="K959" t="str">
        <f>TEXT(Table1[[#This Row],[PurchaseDate]],"mmm")</f>
        <v>May</v>
      </c>
      <c r="L959">
        <f>YEAR(Table1[[#This Row],[PurchaseDate]])</f>
        <v>2023</v>
      </c>
      <c r="M959" t="str">
        <f>IF(Table1[[#This Row],[TotalPrice]]&gt;2000,"High Sales","Low Sales")</f>
        <v>Low Sales</v>
      </c>
    </row>
    <row r="960" spans="1:13" x14ac:dyDescent="0.3">
      <c r="A960" t="s">
        <v>918</v>
      </c>
      <c r="B960" t="s">
        <v>1652</v>
      </c>
      <c r="C960" s="1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  <c r="K960" t="str">
        <f>TEXT(Table1[[#This Row],[PurchaseDate]],"mmm")</f>
        <v>Feb</v>
      </c>
      <c r="L960">
        <f>YEAR(Table1[[#This Row],[PurchaseDate]])</f>
        <v>2025</v>
      </c>
      <c r="M960" t="str">
        <f>IF(Table1[[#This Row],[TotalPrice]]&gt;2000,"High Sales","Low Sales")</f>
        <v>Low Sales</v>
      </c>
    </row>
    <row r="961" spans="1:13" x14ac:dyDescent="0.3">
      <c r="A961" t="s">
        <v>919</v>
      </c>
      <c r="B961" t="s">
        <v>1654</v>
      </c>
      <c r="C961" s="1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  <c r="K961" t="str">
        <f>TEXT(Table1[[#This Row],[PurchaseDate]],"mmm")</f>
        <v>Aug</v>
      </c>
      <c r="L961">
        <f>YEAR(Table1[[#This Row],[PurchaseDate]])</f>
        <v>2023</v>
      </c>
      <c r="M961" t="str">
        <f>IF(Table1[[#This Row],[TotalPrice]]&gt;2000,"High Sales","Low Sales")</f>
        <v>High Sales</v>
      </c>
    </row>
    <row r="962" spans="1:13" x14ac:dyDescent="0.3">
      <c r="A962" t="s">
        <v>920</v>
      </c>
      <c r="B962" t="s">
        <v>1652</v>
      </c>
      <c r="C962" s="1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  <c r="K962" t="str">
        <f>TEXT(Table1[[#This Row],[PurchaseDate]],"mmm")</f>
        <v>Feb</v>
      </c>
      <c r="L962">
        <f>YEAR(Table1[[#This Row],[PurchaseDate]])</f>
        <v>2023</v>
      </c>
      <c r="M962" t="str">
        <f>IF(Table1[[#This Row],[TotalPrice]]&gt;2000,"High Sales","Low Sales")</f>
        <v>High Sales</v>
      </c>
    </row>
    <row r="963" spans="1:13" x14ac:dyDescent="0.3">
      <c r="A963" t="s">
        <v>921</v>
      </c>
      <c r="B963" t="s">
        <v>1652</v>
      </c>
      <c r="C963" s="1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  <c r="K963" t="str">
        <f>TEXT(Table1[[#This Row],[PurchaseDate]],"mmm")</f>
        <v>Jul</v>
      </c>
      <c r="L963">
        <f>YEAR(Table1[[#This Row],[PurchaseDate]])</f>
        <v>2024</v>
      </c>
      <c r="M963" t="str">
        <f>IF(Table1[[#This Row],[TotalPrice]]&gt;2000,"High Sales","Low Sales")</f>
        <v>High Sales</v>
      </c>
    </row>
    <row r="964" spans="1:13" x14ac:dyDescent="0.3">
      <c r="A964" t="s">
        <v>922</v>
      </c>
      <c r="B964" t="s">
        <v>1656</v>
      </c>
      <c r="C964" s="1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  <c r="K964" t="str">
        <f>TEXT(Table1[[#This Row],[PurchaseDate]],"mmm")</f>
        <v>Jan</v>
      </c>
      <c r="L964">
        <f>YEAR(Table1[[#This Row],[PurchaseDate]])</f>
        <v>2024</v>
      </c>
      <c r="M964" t="str">
        <f>IF(Table1[[#This Row],[TotalPrice]]&gt;2000,"High Sales","Low Sales")</f>
        <v>Low Sales</v>
      </c>
    </row>
    <row r="965" spans="1:13" x14ac:dyDescent="0.3">
      <c r="A965" t="s">
        <v>923</v>
      </c>
      <c r="B965" t="s">
        <v>1658</v>
      </c>
      <c r="C965" s="1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  <c r="K965" t="str">
        <f>TEXT(Table1[[#This Row],[PurchaseDate]],"mmm")</f>
        <v>Mar</v>
      </c>
      <c r="L965">
        <f>YEAR(Table1[[#This Row],[PurchaseDate]])</f>
        <v>2024</v>
      </c>
      <c r="M965" t="str">
        <f>IF(Table1[[#This Row],[TotalPrice]]&gt;2000,"High Sales","Low Sales")</f>
        <v>Low Sales</v>
      </c>
    </row>
    <row r="966" spans="1:13" x14ac:dyDescent="0.3">
      <c r="A966" t="s">
        <v>924</v>
      </c>
      <c r="B966" t="s">
        <v>1655</v>
      </c>
      <c r="C966" s="1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  <c r="K966" t="str">
        <f>TEXT(Table1[[#This Row],[PurchaseDate]],"mmm")</f>
        <v>Jan</v>
      </c>
      <c r="L966">
        <f>YEAR(Table1[[#This Row],[PurchaseDate]])</f>
        <v>2023</v>
      </c>
      <c r="M966" t="str">
        <f>IF(Table1[[#This Row],[TotalPrice]]&gt;2000,"High Sales","Low Sales")</f>
        <v>Low Sales</v>
      </c>
    </row>
    <row r="967" spans="1:13" x14ac:dyDescent="0.3">
      <c r="A967" t="s">
        <v>925</v>
      </c>
      <c r="B967" t="s">
        <v>1656</v>
      </c>
      <c r="C967" s="1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  <c r="K967" t="str">
        <f>TEXT(Table1[[#This Row],[PurchaseDate]],"mmm")</f>
        <v>Feb</v>
      </c>
      <c r="L967">
        <f>YEAR(Table1[[#This Row],[PurchaseDate]])</f>
        <v>2023</v>
      </c>
      <c r="M967" t="str">
        <f>IF(Table1[[#This Row],[TotalPrice]]&gt;2000,"High Sales","Low Sales")</f>
        <v>Low Sales</v>
      </c>
    </row>
    <row r="968" spans="1:13" x14ac:dyDescent="0.3">
      <c r="A968" t="s">
        <v>926</v>
      </c>
      <c r="B968" t="s">
        <v>1655</v>
      </c>
      <c r="C968" s="1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  <c r="K968" t="str">
        <f>TEXT(Table1[[#This Row],[PurchaseDate]],"mmm")</f>
        <v>Mar</v>
      </c>
      <c r="L968">
        <f>YEAR(Table1[[#This Row],[PurchaseDate]])</f>
        <v>2023</v>
      </c>
      <c r="M968" t="str">
        <f>IF(Table1[[#This Row],[TotalPrice]]&gt;2000,"High Sales","Low Sales")</f>
        <v>Low Sales</v>
      </c>
    </row>
    <row r="969" spans="1:13" x14ac:dyDescent="0.3">
      <c r="A969" t="s">
        <v>927</v>
      </c>
      <c r="B969" t="s">
        <v>1658</v>
      </c>
      <c r="C969" s="1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  <c r="K969" t="str">
        <f>TEXT(Table1[[#This Row],[PurchaseDate]],"mmm")</f>
        <v>Jun</v>
      </c>
      <c r="L969">
        <f>YEAR(Table1[[#This Row],[PurchaseDate]])</f>
        <v>2025</v>
      </c>
      <c r="M969" t="str">
        <f>IF(Table1[[#This Row],[TotalPrice]]&gt;2000,"High Sales","Low Sales")</f>
        <v>Low Sales</v>
      </c>
    </row>
    <row r="970" spans="1:13" x14ac:dyDescent="0.3">
      <c r="A970" t="s">
        <v>928</v>
      </c>
      <c r="B970" t="s">
        <v>1657</v>
      </c>
      <c r="C970" s="1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  <c r="K970" t="str">
        <f>TEXT(Table1[[#This Row],[PurchaseDate]],"mmm")</f>
        <v>Sep</v>
      </c>
      <c r="L970">
        <f>YEAR(Table1[[#This Row],[PurchaseDate]])</f>
        <v>2023</v>
      </c>
      <c r="M970" t="str">
        <f>IF(Table1[[#This Row],[TotalPrice]]&gt;2000,"High Sales","Low Sales")</f>
        <v>Low Sales</v>
      </c>
    </row>
    <row r="971" spans="1:13" x14ac:dyDescent="0.3">
      <c r="A971" t="s">
        <v>929</v>
      </c>
      <c r="B971" t="s">
        <v>1652</v>
      </c>
      <c r="C971" s="1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  <c r="K971" t="str">
        <f>TEXT(Table1[[#This Row],[PurchaseDate]],"mmm")</f>
        <v>Mar</v>
      </c>
      <c r="L971">
        <f>YEAR(Table1[[#This Row],[PurchaseDate]])</f>
        <v>2024</v>
      </c>
      <c r="M971" t="str">
        <f>IF(Table1[[#This Row],[TotalPrice]]&gt;2000,"High Sales","Low Sales")</f>
        <v>High Sales</v>
      </c>
    </row>
    <row r="972" spans="1:13" x14ac:dyDescent="0.3">
      <c r="A972" t="s">
        <v>930</v>
      </c>
      <c r="B972" t="s">
        <v>1656</v>
      </c>
      <c r="C972" s="1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  <c r="K972" t="str">
        <f>TEXT(Table1[[#This Row],[PurchaseDate]],"mmm")</f>
        <v>Jan</v>
      </c>
      <c r="L972">
        <f>YEAR(Table1[[#This Row],[PurchaseDate]])</f>
        <v>2025</v>
      </c>
      <c r="M972" t="str">
        <f>IF(Table1[[#This Row],[TotalPrice]]&gt;2000,"High Sales","Low Sales")</f>
        <v>High Sales</v>
      </c>
    </row>
    <row r="973" spans="1:13" x14ac:dyDescent="0.3">
      <c r="A973" t="s">
        <v>931</v>
      </c>
      <c r="B973" t="s">
        <v>1657</v>
      </c>
      <c r="C973" s="1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  <c r="K973" t="str">
        <f>TEXT(Table1[[#This Row],[PurchaseDate]],"mmm")</f>
        <v>Nov</v>
      </c>
      <c r="L973">
        <f>YEAR(Table1[[#This Row],[PurchaseDate]])</f>
        <v>2024</v>
      </c>
      <c r="M973" t="str">
        <f>IF(Table1[[#This Row],[TotalPrice]]&gt;2000,"High Sales","Low Sales")</f>
        <v>High Sales</v>
      </c>
    </row>
    <row r="974" spans="1:13" x14ac:dyDescent="0.3">
      <c r="A974" t="s">
        <v>932</v>
      </c>
      <c r="B974" t="s">
        <v>1656</v>
      </c>
      <c r="C974" s="1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  <c r="K974" t="str">
        <f>TEXT(Table1[[#This Row],[PurchaseDate]],"mmm")</f>
        <v>Oct</v>
      </c>
      <c r="L974">
        <f>YEAR(Table1[[#This Row],[PurchaseDate]])</f>
        <v>2024</v>
      </c>
      <c r="M974" t="str">
        <f>IF(Table1[[#This Row],[TotalPrice]]&gt;2000,"High Sales","Low Sales")</f>
        <v>Low Sales</v>
      </c>
    </row>
    <row r="975" spans="1:13" x14ac:dyDescent="0.3">
      <c r="A975" t="s">
        <v>774</v>
      </c>
      <c r="B975" t="s">
        <v>1652</v>
      </c>
      <c r="C975" s="1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  <c r="K975" t="str">
        <f>TEXT(Table1[[#This Row],[PurchaseDate]],"mmm")</f>
        <v>Mar</v>
      </c>
      <c r="L975">
        <f>YEAR(Table1[[#This Row],[PurchaseDate]])</f>
        <v>2025</v>
      </c>
      <c r="M975" t="str">
        <f>IF(Table1[[#This Row],[TotalPrice]]&gt;2000,"High Sales","Low Sales")</f>
        <v>Low Sales</v>
      </c>
    </row>
    <row r="976" spans="1:13" x14ac:dyDescent="0.3">
      <c r="A976" t="s">
        <v>933</v>
      </c>
      <c r="B976" t="s">
        <v>1655</v>
      </c>
      <c r="C976" s="1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  <c r="K976" t="str">
        <f>TEXT(Table1[[#This Row],[PurchaseDate]],"mmm")</f>
        <v>Mar</v>
      </c>
      <c r="L976">
        <f>YEAR(Table1[[#This Row],[PurchaseDate]])</f>
        <v>2024</v>
      </c>
      <c r="M976" t="str">
        <f>IF(Table1[[#This Row],[TotalPrice]]&gt;2000,"High Sales","Low Sales")</f>
        <v>High Sales</v>
      </c>
    </row>
    <row r="977" spans="1:13" x14ac:dyDescent="0.3">
      <c r="A977" t="s">
        <v>934</v>
      </c>
      <c r="B977" t="s">
        <v>1657</v>
      </c>
      <c r="C977" s="1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  <c r="K977" t="str">
        <f>TEXT(Table1[[#This Row],[PurchaseDate]],"mmm")</f>
        <v>Nov</v>
      </c>
      <c r="L977">
        <f>YEAR(Table1[[#This Row],[PurchaseDate]])</f>
        <v>2023</v>
      </c>
      <c r="M977" t="str">
        <f>IF(Table1[[#This Row],[TotalPrice]]&gt;2000,"High Sales","Low Sales")</f>
        <v>Low Sales</v>
      </c>
    </row>
    <row r="978" spans="1:13" x14ac:dyDescent="0.3">
      <c r="A978" t="s">
        <v>935</v>
      </c>
      <c r="B978" t="s">
        <v>1658</v>
      </c>
      <c r="C978" s="1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  <c r="K978" t="str">
        <f>TEXT(Table1[[#This Row],[PurchaseDate]],"mmm")</f>
        <v>Aug</v>
      </c>
      <c r="L978">
        <f>YEAR(Table1[[#This Row],[PurchaseDate]])</f>
        <v>2024</v>
      </c>
      <c r="M978" t="str">
        <f>IF(Table1[[#This Row],[TotalPrice]]&gt;2000,"High Sales","Low Sales")</f>
        <v>High Sales</v>
      </c>
    </row>
    <row r="979" spans="1:13" x14ac:dyDescent="0.3">
      <c r="A979" t="s">
        <v>936</v>
      </c>
      <c r="B979" t="s">
        <v>1654</v>
      </c>
      <c r="C979" s="1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  <c r="K979" t="str">
        <f>TEXT(Table1[[#This Row],[PurchaseDate]],"mmm")</f>
        <v>Jan</v>
      </c>
      <c r="L979">
        <f>YEAR(Table1[[#This Row],[PurchaseDate]])</f>
        <v>2024</v>
      </c>
      <c r="M979" t="str">
        <f>IF(Table1[[#This Row],[TotalPrice]]&gt;2000,"High Sales","Low Sales")</f>
        <v>High Sales</v>
      </c>
    </row>
    <row r="980" spans="1:13" x14ac:dyDescent="0.3">
      <c r="A980" t="s">
        <v>937</v>
      </c>
      <c r="B980" t="s">
        <v>1653</v>
      </c>
      <c r="C980" s="1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  <c r="K980" t="str">
        <f>TEXT(Table1[[#This Row],[PurchaseDate]],"mmm")</f>
        <v>Feb</v>
      </c>
      <c r="L980">
        <f>YEAR(Table1[[#This Row],[PurchaseDate]])</f>
        <v>2025</v>
      </c>
      <c r="M980" t="str">
        <f>IF(Table1[[#This Row],[TotalPrice]]&gt;2000,"High Sales","Low Sales")</f>
        <v>High Sales</v>
      </c>
    </row>
    <row r="981" spans="1:13" x14ac:dyDescent="0.3">
      <c r="A981" t="s">
        <v>938</v>
      </c>
      <c r="B981" t="s">
        <v>1655</v>
      </c>
      <c r="C981" s="1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  <c r="K981" t="str">
        <f>TEXT(Table1[[#This Row],[PurchaseDate]],"mmm")</f>
        <v>Jan</v>
      </c>
      <c r="L981">
        <f>YEAR(Table1[[#This Row],[PurchaseDate]])</f>
        <v>2024</v>
      </c>
      <c r="M981" t="str">
        <f>IF(Table1[[#This Row],[TotalPrice]]&gt;2000,"High Sales","Low Sales")</f>
        <v>Low Sales</v>
      </c>
    </row>
    <row r="982" spans="1:13" x14ac:dyDescent="0.3">
      <c r="A982" t="s">
        <v>939</v>
      </c>
      <c r="B982" t="s">
        <v>1658</v>
      </c>
      <c r="C982" s="1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  <c r="K982" t="str">
        <f>TEXT(Table1[[#This Row],[PurchaseDate]],"mmm")</f>
        <v>Feb</v>
      </c>
      <c r="L982">
        <f>YEAR(Table1[[#This Row],[PurchaseDate]])</f>
        <v>2023</v>
      </c>
      <c r="M982" t="str">
        <f>IF(Table1[[#This Row],[TotalPrice]]&gt;2000,"High Sales","Low Sales")</f>
        <v>Low Sales</v>
      </c>
    </row>
    <row r="983" spans="1:13" x14ac:dyDescent="0.3">
      <c r="A983" t="s">
        <v>940</v>
      </c>
      <c r="B983" t="s">
        <v>1654</v>
      </c>
      <c r="C983" s="1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  <c r="K983" t="str">
        <f>TEXT(Table1[[#This Row],[PurchaseDate]],"mmm")</f>
        <v>May</v>
      </c>
      <c r="L983">
        <f>YEAR(Table1[[#This Row],[PurchaseDate]])</f>
        <v>2024</v>
      </c>
      <c r="M983" t="str">
        <f>IF(Table1[[#This Row],[TotalPrice]]&gt;2000,"High Sales","Low Sales")</f>
        <v>High Sales</v>
      </c>
    </row>
    <row r="984" spans="1:13" x14ac:dyDescent="0.3">
      <c r="A984" t="s">
        <v>941</v>
      </c>
      <c r="B984" t="s">
        <v>1657</v>
      </c>
      <c r="C984" s="1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  <c r="K984" t="str">
        <f>TEXT(Table1[[#This Row],[PurchaseDate]],"mmm")</f>
        <v>Jun</v>
      </c>
      <c r="L984">
        <f>YEAR(Table1[[#This Row],[PurchaseDate]])</f>
        <v>2024</v>
      </c>
      <c r="M984" t="str">
        <f>IF(Table1[[#This Row],[TotalPrice]]&gt;2000,"High Sales","Low Sales")</f>
        <v>High Sales</v>
      </c>
    </row>
    <row r="985" spans="1:13" x14ac:dyDescent="0.3">
      <c r="A985" t="s">
        <v>942</v>
      </c>
      <c r="B985" t="s">
        <v>1658</v>
      </c>
      <c r="C985" s="1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  <c r="K985" t="str">
        <f>TEXT(Table1[[#This Row],[PurchaseDate]],"mmm")</f>
        <v>Oct</v>
      </c>
      <c r="L985">
        <f>YEAR(Table1[[#This Row],[PurchaseDate]])</f>
        <v>2023</v>
      </c>
      <c r="M985" t="str">
        <f>IF(Table1[[#This Row],[TotalPrice]]&gt;2000,"High Sales","Low Sales")</f>
        <v>Low Sales</v>
      </c>
    </row>
    <row r="986" spans="1:13" x14ac:dyDescent="0.3">
      <c r="A986" t="s">
        <v>943</v>
      </c>
      <c r="B986" t="s">
        <v>1652</v>
      </c>
      <c r="C986" s="1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  <c r="K986" t="str">
        <f>TEXT(Table1[[#This Row],[PurchaseDate]],"mmm")</f>
        <v>Mar</v>
      </c>
      <c r="L986">
        <f>YEAR(Table1[[#This Row],[PurchaseDate]])</f>
        <v>2024</v>
      </c>
      <c r="M986" t="str">
        <f>IF(Table1[[#This Row],[TotalPrice]]&gt;2000,"High Sales","Low Sales")</f>
        <v>High Sales</v>
      </c>
    </row>
    <row r="987" spans="1:13" x14ac:dyDescent="0.3">
      <c r="A987" t="s">
        <v>944</v>
      </c>
      <c r="B987" t="s">
        <v>1656</v>
      </c>
      <c r="C987" s="1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  <c r="K987" t="str">
        <f>TEXT(Table1[[#This Row],[PurchaseDate]],"mmm")</f>
        <v>Jan</v>
      </c>
      <c r="L987">
        <f>YEAR(Table1[[#This Row],[PurchaseDate]])</f>
        <v>2025</v>
      </c>
      <c r="M987" t="str">
        <f>IF(Table1[[#This Row],[TotalPrice]]&gt;2000,"High Sales","Low Sales")</f>
        <v>High Sales</v>
      </c>
    </row>
    <row r="988" spans="1:13" x14ac:dyDescent="0.3">
      <c r="A988" t="s">
        <v>945</v>
      </c>
      <c r="B988" t="s">
        <v>1654</v>
      </c>
      <c r="C988" s="1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  <c r="K988" t="str">
        <f>TEXT(Table1[[#This Row],[PurchaseDate]],"mmm")</f>
        <v>Dec</v>
      </c>
      <c r="L988">
        <f>YEAR(Table1[[#This Row],[PurchaseDate]])</f>
        <v>2024</v>
      </c>
      <c r="M988" t="str">
        <f>IF(Table1[[#This Row],[TotalPrice]]&gt;2000,"High Sales","Low Sales")</f>
        <v>High Sales</v>
      </c>
    </row>
    <row r="989" spans="1:13" x14ac:dyDescent="0.3">
      <c r="A989" t="s">
        <v>946</v>
      </c>
      <c r="B989" t="s">
        <v>1655</v>
      </c>
      <c r="C989" s="1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  <c r="K989" t="str">
        <f>TEXT(Table1[[#This Row],[PurchaseDate]],"mmm")</f>
        <v>Mar</v>
      </c>
      <c r="L989">
        <f>YEAR(Table1[[#This Row],[PurchaseDate]])</f>
        <v>2024</v>
      </c>
      <c r="M989" t="str">
        <f>IF(Table1[[#This Row],[TotalPrice]]&gt;2000,"High Sales","Low Sales")</f>
        <v>Low Sales</v>
      </c>
    </row>
    <row r="990" spans="1:13" x14ac:dyDescent="0.3">
      <c r="A990" t="s">
        <v>947</v>
      </c>
      <c r="B990" t="s">
        <v>1656</v>
      </c>
      <c r="C990" s="1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  <c r="K990" t="str">
        <f>TEXT(Table1[[#This Row],[PurchaseDate]],"mmm")</f>
        <v>Dec</v>
      </c>
      <c r="L990">
        <f>YEAR(Table1[[#This Row],[PurchaseDate]])</f>
        <v>2023</v>
      </c>
      <c r="M990" t="str">
        <f>IF(Table1[[#This Row],[TotalPrice]]&gt;2000,"High Sales","Low Sales")</f>
        <v>High Sales</v>
      </c>
    </row>
    <row r="991" spans="1:13" x14ac:dyDescent="0.3">
      <c r="A991" t="s">
        <v>948</v>
      </c>
      <c r="B991" t="s">
        <v>1652</v>
      </c>
      <c r="C991" s="1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  <c r="K991" t="str">
        <f>TEXT(Table1[[#This Row],[PurchaseDate]],"mmm")</f>
        <v>May</v>
      </c>
      <c r="L991">
        <f>YEAR(Table1[[#This Row],[PurchaseDate]])</f>
        <v>2023</v>
      </c>
      <c r="M991" t="str">
        <f>IF(Table1[[#This Row],[TotalPrice]]&gt;2000,"High Sales","Low Sales")</f>
        <v>Low Sales</v>
      </c>
    </row>
    <row r="992" spans="1:13" x14ac:dyDescent="0.3">
      <c r="A992" t="s">
        <v>949</v>
      </c>
      <c r="B992" t="s">
        <v>1656</v>
      </c>
      <c r="C992" s="1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  <c r="K992" t="str">
        <f>TEXT(Table1[[#This Row],[PurchaseDate]],"mmm")</f>
        <v>Dec</v>
      </c>
      <c r="L992">
        <f>YEAR(Table1[[#This Row],[PurchaseDate]])</f>
        <v>2023</v>
      </c>
      <c r="M992" t="str">
        <f>IF(Table1[[#This Row],[TotalPrice]]&gt;2000,"High Sales","Low Sales")</f>
        <v>High Sales</v>
      </c>
    </row>
    <row r="993" spans="1:13" x14ac:dyDescent="0.3">
      <c r="A993" t="s">
        <v>950</v>
      </c>
      <c r="B993" t="s">
        <v>1654</v>
      </c>
      <c r="C993" s="1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  <c r="K993" t="str">
        <f>TEXT(Table1[[#This Row],[PurchaseDate]],"mmm")</f>
        <v>Mar</v>
      </c>
      <c r="L993">
        <f>YEAR(Table1[[#This Row],[PurchaseDate]])</f>
        <v>2023</v>
      </c>
      <c r="M993" t="str">
        <f>IF(Table1[[#This Row],[TotalPrice]]&gt;2000,"High Sales","Low Sales")</f>
        <v>Low Sales</v>
      </c>
    </row>
    <row r="994" spans="1:13" x14ac:dyDescent="0.3">
      <c r="A994" t="s">
        <v>951</v>
      </c>
      <c r="B994" t="s">
        <v>1652</v>
      </c>
      <c r="C994" s="1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  <c r="K994" t="str">
        <f>TEXT(Table1[[#This Row],[PurchaseDate]],"mmm")</f>
        <v>Dec</v>
      </c>
      <c r="L994">
        <f>YEAR(Table1[[#This Row],[PurchaseDate]])</f>
        <v>2024</v>
      </c>
      <c r="M994" t="str">
        <f>IF(Table1[[#This Row],[TotalPrice]]&gt;2000,"High Sales","Low Sales")</f>
        <v>Low Sales</v>
      </c>
    </row>
    <row r="995" spans="1:13" x14ac:dyDescent="0.3">
      <c r="A995" t="s">
        <v>952</v>
      </c>
      <c r="B995" t="s">
        <v>1652</v>
      </c>
      <c r="C995" s="1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  <c r="K995" t="str">
        <f>TEXT(Table1[[#This Row],[PurchaseDate]],"mmm")</f>
        <v>Oct</v>
      </c>
      <c r="L995">
        <f>YEAR(Table1[[#This Row],[PurchaseDate]])</f>
        <v>2024</v>
      </c>
      <c r="M995" t="str">
        <f>IF(Table1[[#This Row],[TotalPrice]]&gt;2000,"High Sales","Low Sales")</f>
        <v>Low Sales</v>
      </c>
    </row>
    <row r="996" spans="1:13" x14ac:dyDescent="0.3">
      <c r="A996" t="s">
        <v>953</v>
      </c>
      <c r="B996" t="s">
        <v>1657</v>
      </c>
      <c r="C996" s="1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  <c r="K996" t="str">
        <f>TEXT(Table1[[#This Row],[PurchaseDate]],"mmm")</f>
        <v>Aug</v>
      </c>
      <c r="L996">
        <f>YEAR(Table1[[#This Row],[PurchaseDate]])</f>
        <v>2024</v>
      </c>
      <c r="M996" t="str">
        <f>IF(Table1[[#This Row],[TotalPrice]]&gt;2000,"High Sales","Low Sales")</f>
        <v>Low Sales</v>
      </c>
    </row>
    <row r="997" spans="1:13" x14ac:dyDescent="0.3">
      <c r="A997" t="s">
        <v>954</v>
      </c>
      <c r="B997" t="s">
        <v>1652</v>
      </c>
      <c r="C997" s="1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  <c r="K997" t="str">
        <f>TEXT(Table1[[#This Row],[PurchaseDate]],"mmm")</f>
        <v>Apr</v>
      </c>
      <c r="L997">
        <f>YEAR(Table1[[#This Row],[PurchaseDate]])</f>
        <v>2025</v>
      </c>
      <c r="M997" t="str">
        <f>IF(Table1[[#This Row],[TotalPrice]]&gt;2000,"High Sales","Low Sales")</f>
        <v>High Sales</v>
      </c>
    </row>
    <row r="998" spans="1:13" x14ac:dyDescent="0.3">
      <c r="A998" t="s">
        <v>955</v>
      </c>
      <c r="B998" t="s">
        <v>1658</v>
      </c>
      <c r="C998" s="1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  <c r="K998" t="str">
        <f>TEXT(Table1[[#This Row],[PurchaseDate]],"mmm")</f>
        <v>Aug</v>
      </c>
      <c r="L998">
        <f>YEAR(Table1[[#This Row],[PurchaseDate]])</f>
        <v>2024</v>
      </c>
      <c r="M998" t="str">
        <f>IF(Table1[[#This Row],[TotalPrice]]&gt;2000,"High Sales","Low Sales")</f>
        <v>High Sales</v>
      </c>
    </row>
    <row r="999" spans="1:13" x14ac:dyDescent="0.3">
      <c r="A999" t="s">
        <v>956</v>
      </c>
      <c r="B999" t="s">
        <v>1657</v>
      </c>
      <c r="C999" s="1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  <c r="K999" t="str">
        <f>TEXT(Table1[[#This Row],[PurchaseDate]],"mmm")</f>
        <v>Feb</v>
      </c>
      <c r="L999">
        <f>YEAR(Table1[[#This Row],[PurchaseDate]])</f>
        <v>2024</v>
      </c>
      <c r="M999" t="str">
        <f>IF(Table1[[#This Row],[TotalPrice]]&gt;2000,"High Sales","Low Sales")</f>
        <v>Low Sales</v>
      </c>
    </row>
    <row r="1000" spans="1:13" x14ac:dyDescent="0.3">
      <c r="A1000" t="s">
        <v>767</v>
      </c>
      <c r="B1000" t="s">
        <v>1652</v>
      </c>
      <c r="C1000" s="1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  <c r="K1000" t="str">
        <f>TEXT(Table1[[#This Row],[PurchaseDate]],"mmm")</f>
        <v>Mar</v>
      </c>
      <c r="L1000">
        <f>YEAR(Table1[[#This Row],[PurchaseDate]])</f>
        <v>2025</v>
      </c>
      <c r="M1000" t="str">
        <f>IF(Table1[[#This Row],[TotalPrice]]&gt;2000,"High Sales","Low Sales")</f>
        <v>Low Sales</v>
      </c>
    </row>
    <row r="1001" spans="1:13" x14ac:dyDescent="0.3">
      <c r="A1001" t="s">
        <v>957</v>
      </c>
      <c r="B1001" t="s">
        <v>1654</v>
      </c>
      <c r="C1001" s="1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  <c r="K1001" t="str">
        <f>TEXT(Table1[[#This Row],[PurchaseDate]],"mmm")</f>
        <v>Aug</v>
      </c>
      <c r="L1001">
        <f>YEAR(Table1[[#This Row],[PurchaseDate]])</f>
        <v>2023</v>
      </c>
      <c r="M1001" t="str">
        <f>IF(Table1[[#This Row],[TotalPrice]]&gt;2000,"High Sales","Low Sales")</f>
        <v>High Sales</v>
      </c>
    </row>
    <row r="1002" spans="1:13" x14ac:dyDescent="0.3">
      <c r="A1002" t="s">
        <v>958</v>
      </c>
      <c r="B1002" t="s">
        <v>1655</v>
      </c>
      <c r="C1002" s="1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  <c r="K1002" t="str">
        <f>TEXT(Table1[[#This Row],[PurchaseDate]],"mmm")</f>
        <v>Mar</v>
      </c>
      <c r="L1002">
        <f>YEAR(Table1[[#This Row],[PurchaseDate]])</f>
        <v>2025</v>
      </c>
      <c r="M1002" t="str">
        <f>IF(Table1[[#This Row],[TotalPrice]]&gt;2000,"High Sales","Low Sales")</f>
        <v>High Sales</v>
      </c>
    </row>
    <row r="1003" spans="1:13" x14ac:dyDescent="0.3">
      <c r="A1003" t="s">
        <v>959</v>
      </c>
      <c r="B1003" t="s">
        <v>1658</v>
      </c>
      <c r="C1003" s="1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  <c r="K1003" t="str">
        <f>TEXT(Table1[[#This Row],[PurchaseDate]],"mmm")</f>
        <v>Apr</v>
      </c>
      <c r="L1003">
        <f>YEAR(Table1[[#This Row],[PurchaseDate]])</f>
        <v>2023</v>
      </c>
      <c r="M1003" t="str">
        <f>IF(Table1[[#This Row],[TotalPrice]]&gt;2000,"High Sales","Low Sales")</f>
        <v>High Sales</v>
      </c>
    </row>
    <row r="1004" spans="1:13" x14ac:dyDescent="0.3">
      <c r="A1004" t="s">
        <v>960</v>
      </c>
      <c r="B1004" t="s">
        <v>1653</v>
      </c>
      <c r="C1004" s="1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  <c r="K1004" t="str">
        <f>TEXT(Table1[[#This Row],[PurchaseDate]],"mmm")</f>
        <v>Sep</v>
      </c>
      <c r="L1004">
        <f>YEAR(Table1[[#This Row],[PurchaseDate]])</f>
        <v>2024</v>
      </c>
      <c r="M1004" t="str">
        <f>IF(Table1[[#This Row],[TotalPrice]]&gt;2000,"High Sales","Low Sales")</f>
        <v>Low Sales</v>
      </c>
    </row>
    <row r="1005" spans="1:13" x14ac:dyDescent="0.3">
      <c r="A1005" t="s">
        <v>961</v>
      </c>
      <c r="B1005" t="s">
        <v>1657</v>
      </c>
      <c r="C1005" s="1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  <c r="K1005" t="str">
        <f>TEXT(Table1[[#This Row],[PurchaseDate]],"mmm")</f>
        <v>Sep</v>
      </c>
      <c r="L1005">
        <f>YEAR(Table1[[#This Row],[PurchaseDate]])</f>
        <v>2024</v>
      </c>
      <c r="M1005" t="str">
        <f>IF(Table1[[#This Row],[TotalPrice]]&gt;2000,"High Sales","Low Sales")</f>
        <v>High Sales</v>
      </c>
    </row>
    <row r="1006" spans="1:13" x14ac:dyDescent="0.3">
      <c r="A1006" t="s">
        <v>962</v>
      </c>
      <c r="B1006" t="s">
        <v>1657</v>
      </c>
      <c r="C1006" s="1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  <c r="K1006" t="str">
        <f>TEXT(Table1[[#This Row],[PurchaseDate]],"mmm")</f>
        <v>May</v>
      </c>
      <c r="L1006">
        <f>YEAR(Table1[[#This Row],[PurchaseDate]])</f>
        <v>2025</v>
      </c>
      <c r="M1006" t="str">
        <f>IF(Table1[[#This Row],[TotalPrice]]&gt;2000,"High Sales","Low Sales")</f>
        <v>Low Sales</v>
      </c>
    </row>
    <row r="1007" spans="1:13" x14ac:dyDescent="0.3">
      <c r="A1007" t="s">
        <v>963</v>
      </c>
      <c r="B1007" t="s">
        <v>1654</v>
      </c>
      <c r="C1007" s="1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  <c r="K1007" t="str">
        <f>TEXT(Table1[[#This Row],[PurchaseDate]],"mmm")</f>
        <v>Feb</v>
      </c>
      <c r="L1007">
        <f>YEAR(Table1[[#This Row],[PurchaseDate]])</f>
        <v>2024</v>
      </c>
      <c r="M1007" t="str">
        <f>IF(Table1[[#This Row],[TotalPrice]]&gt;2000,"High Sales","Low Sales")</f>
        <v>High Sales</v>
      </c>
    </row>
    <row r="1008" spans="1:13" x14ac:dyDescent="0.3">
      <c r="A1008" t="s">
        <v>964</v>
      </c>
      <c r="B1008" t="s">
        <v>1653</v>
      </c>
      <c r="C1008" s="1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  <c r="K1008" t="str">
        <f>TEXT(Table1[[#This Row],[PurchaseDate]],"mmm")</f>
        <v>Apr</v>
      </c>
      <c r="L1008">
        <f>YEAR(Table1[[#This Row],[PurchaseDate]])</f>
        <v>2023</v>
      </c>
      <c r="M1008" t="str">
        <f>IF(Table1[[#This Row],[TotalPrice]]&gt;2000,"High Sales","Low Sales")</f>
        <v>High Sales</v>
      </c>
    </row>
    <row r="1009" spans="1:13" x14ac:dyDescent="0.3">
      <c r="A1009" t="s">
        <v>119</v>
      </c>
      <c r="B1009" t="s">
        <v>1654</v>
      </c>
      <c r="C1009" s="1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  <c r="K1009" t="str">
        <f>TEXT(Table1[[#This Row],[PurchaseDate]],"mmm")</f>
        <v>Sep</v>
      </c>
      <c r="L1009">
        <f>YEAR(Table1[[#This Row],[PurchaseDate]])</f>
        <v>2024</v>
      </c>
      <c r="M1009" t="str">
        <f>IF(Table1[[#This Row],[TotalPrice]]&gt;2000,"High Sales","Low Sales")</f>
        <v>High Sales</v>
      </c>
    </row>
    <row r="1010" spans="1:13" x14ac:dyDescent="0.3">
      <c r="A1010" t="s">
        <v>965</v>
      </c>
      <c r="B1010" t="s">
        <v>1653</v>
      </c>
      <c r="C1010" s="1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  <c r="K1010" t="str">
        <f>TEXT(Table1[[#This Row],[PurchaseDate]],"mmm")</f>
        <v>Feb</v>
      </c>
      <c r="L1010">
        <f>YEAR(Table1[[#This Row],[PurchaseDate]])</f>
        <v>2023</v>
      </c>
      <c r="M1010" t="str">
        <f>IF(Table1[[#This Row],[TotalPrice]]&gt;2000,"High Sales","Low Sales")</f>
        <v>Low Sales</v>
      </c>
    </row>
    <row r="1011" spans="1:13" x14ac:dyDescent="0.3">
      <c r="A1011" t="s">
        <v>966</v>
      </c>
      <c r="B1011" t="s">
        <v>1657</v>
      </c>
      <c r="C1011" s="1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  <c r="K1011" t="str">
        <f>TEXT(Table1[[#This Row],[PurchaseDate]],"mmm")</f>
        <v>Oct</v>
      </c>
      <c r="L1011">
        <f>YEAR(Table1[[#This Row],[PurchaseDate]])</f>
        <v>2024</v>
      </c>
      <c r="M1011" t="str">
        <f>IF(Table1[[#This Row],[TotalPrice]]&gt;2000,"High Sales","Low Sales")</f>
        <v>Low Sales</v>
      </c>
    </row>
    <row r="1012" spans="1:13" x14ac:dyDescent="0.3">
      <c r="A1012" t="s">
        <v>967</v>
      </c>
      <c r="B1012" t="s">
        <v>1655</v>
      </c>
      <c r="C1012" s="1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  <c r="K1012" t="str">
        <f>TEXT(Table1[[#This Row],[PurchaseDate]],"mmm")</f>
        <v>Oct</v>
      </c>
      <c r="L1012">
        <f>YEAR(Table1[[#This Row],[PurchaseDate]])</f>
        <v>2024</v>
      </c>
      <c r="M1012" t="str">
        <f>IF(Table1[[#This Row],[TotalPrice]]&gt;2000,"High Sales","Low Sales")</f>
        <v>High Sales</v>
      </c>
    </row>
    <row r="1013" spans="1:13" x14ac:dyDescent="0.3">
      <c r="A1013" t="s">
        <v>968</v>
      </c>
      <c r="B1013" t="s">
        <v>1655</v>
      </c>
      <c r="C1013" s="1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  <c r="K1013" t="str">
        <f>TEXT(Table1[[#This Row],[PurchaseDate]],"mmm")</f>
        <v>Sep</v>
      </c>
      <c r="L1013">
        <f>YEAR(Table1[[#This Row],[PurchaseDate]])</f>
        <v>2023</v>
      </c>
      <c r="M1013" t="str">
        <f>IF(Table1[[#This Row],[TotalPrice]]&gt;2000,"High Sales","Low Sales")</f>
        <v>High Sales</v>
      </c>
    </row>
    <row r="1014" spans="1:13" x14ac:dyDescent="0.3">
      <c r="A1014" t="s">
        <v>969</v>
      </c>
      <c r="B1014" t="s">
        <v>1658</v>
      </c>
      <c r="C1014" s="1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  <c r="K1014" t="str">
        <f>TEXT(Table1[[#This Row],[PurchaseDate]],"mmm")</f>
        <v>Jun</v>
      </c>
      <c r="L1014">
        <f>YEAR(Table1[[#This Row],[PurchaseDate]])</f>
        <v>2025</v>
      </c>
      <c r="M1014" t="str">
        <f>IF(Table1[[#This Row],[TotalPrice]]&gt;2000,"High Sales","Low Sales")</f>
        <v>High Sales</v>
      </c>
    </row>
    <row r="1015" spans="1:13" x14ac:dyDescent="0.3">
      <c r="A1015" t="s">
        <v>970</v>
      </c>
      <c r="B1015" t="s">
        <v>1656</v>
      </c>
      <c r="C1015" s="1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  <c r="K1015" t="str">
        <f>TEXT(Table1[[#This Row],[PurchaseDate]],"mmm")</f>
        <v>Feb</v>
      </c>
      <c r="L1015">
        <f>YEAR(Table1[[#This Row],[PurchaseDate]])</f>
        <v>2023</v>
      </c>
      <c r="M1015" t="str">
        <f>IF(Table1[[#This Row],[TotalPrice]]&gt;2000,"High Sales","Low Sales")</f>
        <v>Low Sales</v>
      </c>
    </row>
    <row r="1016" spans="1:13" x14ac:dyDescent="0.3">
      <c r="A1016" t="s">
        <v>971</v>
      </c>
      <c r="B1016" t="s">
        <v>1654</v>
      </c>
      <c r="C1016" s="1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  <c r="K1016" t="str">
        <f>TEXT(Table1[[#This Row],[PurchaseDate]],"mmm")</f>
        <v>Feb</v>
      </c>
      <c r="L1016">
        <f>YEAR(Table1[[#This Row],[PurchaseDate]])</f>
        <v>2023</v>
      </c>
      <c r="M1016" t="str">
        <f>IF(Table1[[#This Row],[TotalPrice]]&gt;2000,"High Sales","Low Sales")</f>
        <v>Low Sales</v>
      </c>
    </row>
    <row r="1017" spans="1:13" x14ac:dyDescent="0.3">
      <c r="A1017" t="s">
        <v>972</v>
      </c>
      <c r="B1017" t="s">
        <v>1652</v>
      </c>
      <c r="C1017" s="1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  <c r="K1017" t="str">
        <f>TEXT(Table1[[#This Row],[PurchaseDate]],"mmm")</f>
        <v>Mar</v>
      </c>
      <c r="L1017">
        <f>YEAR(Table1[[#This Row],[PurchaseDate]])</f>
        <v>2024</v>
      </c>
      <c r="M1017" t="str">
        <f>IF(Table1[[#This Row],[TotalPrice]]&gt;2000,"High Sales","Low Sales")</f>
        <v>Low Sales</v>
      </c>
    </row>
    <row r="1018" spans="1:13" x14ac:dyDescent="0.3">
      <c r="A1018" t="s">
        <v>973</v>
      </c>
      <c r="B1018" t="s">
        <v>1653</v>
      </c>
      <c r="C1018" s="1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  <c r="K1018" t="str">
        <f>TEXT(Table1[[#This Row],[PurchaseDate]],"mmm")</f>
        <v>Apr</v>
      </c>
      <c r="L1018">
        <f>YEAR(Table1[[#This Row],[PurchaseDate]])</f>
        <v>2023</v>
      </c>
      <c r="M1018" t="str">
        <f>IF(Table1[[#This Row],[TotalPrice]]&gt;2000,"High Sales","Low Sales")</f>
        <v>Low Sales</v>
      </c>
    </row>
    <row r="1019" spans="1:13" x14ac:dyDescent="0.3">
      <c r="A1019" t="s">
        <v>19</v>
      </c>
      <c r="B1019" t="s">
        <v>1654</v>
      </c>
      <c r="C1019" s="1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  <c r="K1019" t="str">
        <f>TEXT(Table1[[#This Row],[PurchaseDate]],"mmm")</f>
        <v>Apr</v>
      </c>
      <c r="L1019">
        <f>YEAR(Table1[[#This Row],[PurchaseDate]])</f>
        <v>2024</v>
      </c>
      <c r="M1019" t="str">
        <f>IF(Table1[[#This Row],[TotalPrice]]&gt;2000,"High Sales","Low Sales")</f>
        <v>Low Sales</v>
      </c>
    </row>
    <row r="1020" spans="1:13" x14ac:dyDescent="0.3">
      <c r="A1020" t="s">
        <v>974</v>
      </c>
      <c r="B1020" t="s">
        <v>1655</v>
      </c>
      <c r="C1020" s="1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  <c r="K1020" t="str">
        <f>TEXT(Table1[[#This Row],[PurchaseDate]],"mmm")</f>
        <v>Apr</v>
      </c>
      <c r="L1020">
        <f>YEAR(Table1[[#This Row],[PurchaseDate]])</f>
        <v>2023</v>
      </c>
      <c r="M1020" t="str">
        <f>IF(Table1[[#This Row],[TotalPrice]]&gt;2000,"High Sales","Low Sales")</f>
        <v>High Sales</v>
      </c>
    </row>
    <row r="1021" spans="1:13" x14ac:dyDescent="0.3">
      <c r="A1021" t="s">
        <v>975</v>
      </c>
      <c r="B1021" t="s">
        <v>1658</v>
      </c>
      <c r="C1021" s="1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  <c r="K1021" t="str">
        <f>TEXT(Table1[[#This Row],[PurchaseDate]],"mmm")</f>
        <v>Jun</v>
      </c>
      <c r="L1021">
        <f>YEAR(Table1[[#This Row],[PurchaseDate]])</f>
        <v>2023</v>
      </c>
      <c r="M1021" t="str">
        <f>IF(Table1[[#This Row],[TotalPrice]]&gt;2000,"High Sales","Low Sales")</f>
        <v>High Sales</v>
      </c>
    </row>
    <row r="1022" spans="1:13" x14ac:dyDescent="0.3">
      <c r="A1022" t="s">
        <v>976</v>
      </c>
      <c r="B1022" t="s">
        <v>1656</v>
      </c>
      <c r="C1022" s="1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  <c r="K1022" t="str">
        <f>TEXT(Table1[[#This Row],[PurchaseDate]],"mmm")</f>
        <v>Dec</v>
      </c>
      <c r="L1022">
        <f>YEAR(Table1[[#This Row],[PurchaseDate]])</f>
        <v>2024</v>
      </c>
      <c r="M1022" t="str">
        <f>IF(Table1[[#This Row],[TotalPrice]]&gt;2000,"High Sales","Low Sales")</f>
        <v>Low Sales</v>
      </c>
    </row>
    <row r="1023" spans="1:13" x14ac:dyDescent="0.3">
      <c r="A1023" t="s">
        <v>977</v>
      </c>
      <c r="B1023" t="s">
        <v>1652</v>
      </c>
      <c r="C1023" s="1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  <c r="K1023" t="str">
        <f>TEXT(Table1[[#This Row],[PurchaseDate]],"mmm")</f>
        <v>Mar</v>
      </c>
      <c r="L1023">
        <f>YEAR(Table1[[#This Row],[PurchaseDate]])</f>
        <v>2025</v>
      </c>
      <c r="M1023" t="str">
        <f>IF(Table1[[#This Row],[TotalPrice]]&gt;2000,"High Sales","Low Sales")</f>
        <v>High Sales</v>
      </c>
    </row>
    <row r="1024" spans="1:13" x14ac:dyDescent="0.3">
      <c r="A1024" t="s">
        <v>978</v>
      </c>
      <c r="B1024" t="s">
        <v>1658</v>
      </c>
      <c r="C1024" s="1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  <c r="K1024" t="str">
        <f>TEXT(Table1[[#This Row],[PurchaseDate]],"mmm")</f>
        <v>Mar</v>
      </c>
      <c r="L1024">
        <f>YEAR(Table1[[#This Row],[PurchaseDate]])</f>
        <v>2025</v>
      </c>
      <c r="M1024" t="str">
        <f>IF(Table1[[#This Row],[TotalPrice]]&gt;2000,"High Sales","Low Sales")</f>
        <v>Low Sales</v>
      </c>
    </row>
    <row r="1025" spans="1:13" x14ac:dyDescent="0.3">
      <c r="A1025" t="s">
        <v>979</v>
      </c>
      <c r="B1025" t="s">
        <v>1658</v>
      </c>
      <c r="C1025" s="1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  <c r="K1025" t="str">
        <f>TEXT(Table1[[#This Row],[PurchaseDate]],"mmm")</f>
        <v>Feb</v>
      </c>
      <c r="L1025">
        <f>YEAR(Table1[[#This Row],[PurchaseDate]])</f>
        <v>2023</v>
      </c>
      <c r="M1025" t="str">
        <f>IF(Table1[[#This Row],[TotalPrice]]&gt;2000,"High Sales","Low Sales")</f>
        <v>High Sales</v>
      </c>
    </row>
    <row r="1026" spans="1:13" x14ac:dyDescent="0.3">
      <c r="A1026" t="s">
        <v>980</v>
      </c>
      <c r="B1026" t="s">
        <v>1654</v>
      </c>
      <c r="C1026" s="1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  <c r="K1026" t="str">
        <f>TEXT(Table1[[#This Row],[PurchaseDate]],"mmm")</f>
        <v>Feb</v>
      </c>
      <c r="L1026">
        <f>YEAR(Table1[[#This Row],[PurchaseDate]])</f>
        <v>2023</v>
      </c>
      <c r="M1026" t="str">
        <f>IF(Table1[[#This Row],[TotalPrice]]&gt;2000,"High Sales","Low Sales")</f>
        <v>High Sales</v>
      </c>
    </row>
    <row r="1027" spans="1:13" x14ac:dyDescent="0.3">
      <c r="A1027" t="s">
        <v>981</v>
      </c>
      <c r="B1027" t="s">
        <v>1652</v>
      </c>
      <c r="C1027" s="1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  <c r="K1027" t="str">
        <f>TEXT(Table1[[#This Row],[PurchaseDate]],"mmm")</f>
        <v>Jun</v>
      </c>
      <c r="L1027">
        <f>YEAR(Table1[[#This Row],[PurchaseDate]])</f>
        <v>2025</v>
      </c>
      <c r="M1027" t="str">
        <f>IF(Table1[[#This Row],[TotalPrice]]&gt;2000,"High Sales","Low Sales")</f>
        <v>Low Sales</v>
      </c>
    </row>
    <row r="1028" spans="1:13" x14ac:dyDescent="0.3">
      <c r="A1028" t="s">
        <v>982</v>
      </c>
      <c r="B1028" t="s">
        <v>1653</v>
      </c>
      <c r="C1028" s="1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  <c r="K1028" t="str">
        <f>TEXT(Table1[[#This Row],[PurchaseDate]],"mmm")</f>
        <v>Jul</v>
      </c>
      <c r="L1028">
        <f>YEAR(Table1[[#This Row],[PurchaseDate]])</f>
        <v>2024</v>
      </c>
      <c r="M1028" t="str">
        <f>IF(Table1[[#This Row],[TotalPrice]]&gt;2000,"High Sales","Low Sales")</f>
        <v>High Sales</v>
      </c>
    </row>
    <row r="1029" spans="1:13" x14ac:dyDescent="0.3">
      <c r="A1029" t="s">
        <v>308</v>
      </c>
      <c r="B1029" t="s">
        <v>1656</v>
      </c>
      <c r="C1029" s="1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  <c r="K1029" t="str">
        <f>TEXT(Table1[[#This Row],[PurchaseDate]],"mmm")</f>
        <v>Mar</v>
      </c>
      <c r="L1029">
        <f>YEAR(Table1[[#This Row],[PurchaseDate]])</f>
        <v>2025</v>
      </c>
      <c r="M1029" t="str">
        <f>IF(Table1[[#This Row],[TotalPrice]]&gt;2000,"High Sales","Low Sales")</f>
        <v>Low Sales</v>
      </c>
    </row>
    <row r="1030" spans="1:13" x14ac:dyDescent="0.3">
      <c r="A1030" t="s">
        <v>983</v>
      </c>
      <c r="B1030" t="s">
        <v>1657</v>
      </c>
      <c r="C1030" s="1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  <c r="K1030" t="str">
        <f>TEXT(Table1[[#This Row],[PurchaseDate]],"mmm")</f>
        <v>Dec</v>
      </c>
      <c r="L1030">
        <f>YEAR(Table1[[#This Row],[PurchaseDate]])</f>
        <v>2024</v>
      </c>
      <c r="M1030" t="str">
        <f>IF(Table1[[#This Row],[TotalPrice]]&gt;2000,"High Sales","Low Sales")</f>
        <v>Low Sales</v>
      </c>
    </row>
    <row r="1031" spans="1:13" x14ac:dyDescent="0.3">
      <c r="A1031" t="s">
        <v>984</v>
      </c>
      <c r="B1031" t="s">
        <v>1654</v>
      </c>
      <c r="C1031" s="1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  <c r="K1031" t="str">
        <f>TEXT(Table1[[#This Row],[PurchaseDate]],"mmm")</f>
        <v>Apr</v>
      </c>
      <c r="L1031">
        <f>YEAR(Table1[[#This Row],[PurchaseDate]])</f>
        <v>2024</v>
      </c>
      <c r="M1031" t="str">
        <f>IF(Table1[[#This Row],[TotalPrice]]&gt;2000,"High Sales","Low Sales")</f>
        <v>Low Sales</v>
      </c>
    </row>
    <row r="1032" spans="1:13" x14ac:dyDescent="0.3">
      <c r="A1032" t="s">
        <v>148</v>
      </c>
      <c r="B1032" t="s">
        <v>1653</v>
      </c>
      <c r="C1032" s="1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  <c r="K1032" t="str">
        <f>TEXT(Table1[[#This Row],[PurchaseDate]],"mmm")</f>
        <v>Feb</v>
      </c>
      <c r="L1032">
        <f>YEAR(Table1[[#This Row],[PurchaseDate]])</f>
        <v>2023</v>
      </c>
      <c r="M1032" t="str">
        <f>IF(Table1[[#This Row],[TotalPrice]]&gt;2000,"High Sales","Low Sales")</f>
        <v>High Sales</v>
      </c>
    </row>
    <row r="1033" spans="1:13" x14ac:dyDescent="0.3">
      <c r="A1033" t="s">
        <v>985</v>
      </c>
      <c r="B1033" t="s">
        <v>1658</v>
      </c>
      <c r="C1033" s="1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  <c r="K1033" t="str">
        <f>TEXT(Table1[[#This Row],[PurchaseDate]],"mmm")</f>
        <v>May</v>
      </c>
      <c r="L1033">
        <f>YEAR(Table1[[#This Row],[PurchaseDate]])</f>
        <v>2024</v>
      </c>
      <c r="M1033" t="str">
        <f>IF(Table1[[#This Row],[TotalPrice]]&gt;2000,"High Sales","Low Sales")</f>
        <v>High Sales</v>
      </c>
    </row>
    <row r="1034" spans="1:13" x14ac:dyDescent="0.3">
      <c r="A1034" t="s">
        <v>986</v>
      </c>
      <c r="B1034" t="s">
        <v>1658</v>
      </c>
      <c r="C1034" s="1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  <c r="K1034" t="str">
        <f>TEXT(Table1[[#This Row],[PurchaseDate]],"mmm")</f>
        <v>Jul</v>
      </c>
      <c r="L1034">
        <f>YEAR(Table1[[#This Row],[PurchaseDate]])</f>
        <v>2024</v>
      </c>
      <c r="M1034" t="str">
        <f>IF(Table1[[#This Row],[TotalPrice]]&gt;2000,"High Sales","Low Sales")</f>
        <v>Low Sales</v>
      </c>
    </row>
    <row r="1035" spans="1:13" x14ac:dyDescent="0.3">
      <c r="A1035" t="s">
        <v>987</v>
      </c>
      <c r="B1035" t="s">
        <v>1657</v>
      </c>
      <c r="C1035" s="1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  <c r="K1035" t="str">
        <f>TEXT(Table1[[#This Row],[PurchaseDate]],"mmm")</f>
        <v>Jan</v>
      </c>
      <c r="L1035">
        <f>YEAR(Table1[[#This Row],[PurchaseDate]])</f>
        <v>2025</v>
      </c>
      <c r="M1035" t="str">
        <f>IF(Table1[[#This Row],[TotalPrice]]&gt;2000,"High Sales","Low Sales")</f>
        <v>Low Sales</v>
      </c>
    </row>
    <row r="1036" spans="1:13" x14ac:dyDescent="0.3">
      <c r="A1036" t="s">
        <v>988</v>
      </c>
      <c r="B1036" t="s">
        <v>1654</v>
      </c>
      <c r="C1036" s="1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  <c r="K1036" t="str">
        <f>TEXT(Table1[[#This Row],[PurchaseDate]],"mmm")</f>
        <v>May</v>
      </c>
      <c r="L1036">
        <f>YEAR(Table1[[#This Row],[PurchaseDate]])</f>
        <v>2025</v>
      </c>
      <c r="M1036" t="str">
        <f>IF(Table1[[#This Row],[TotalPrice]]&gt;2000,"High Sales","Low Sales")</f>
        <v>High Sales</v>
      </c>
    </row>
    <row r="1037" spans="1:13" x14ac:dyDescent="0.3">
      <c r="A1037" t="s">
        <v>989</v>
      </c>
      <c r="B1037" t="s">
        <v>1656</v>
      </c>
      <c r="C1037" s="1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  <c r="K1037" t="str">
        <f>TEXT(Table1[[#This Row],[PurchaseDate]],"mmm")</f>
        <v>Apr</v>
      </c>
      <c r="L1037">
        <f>YEAR(Table1[[#This Row],[PurchaseDate]])</f>
        <v>2025</v>
      </c>
      <c r="M1037" t="str">
        <f>IF(Table1[[#This Row],[TotalPrice]]&gt;2000,"High Sales","Low Sales")</f>
        <v>Low Sales</v>
      </c>
    </row>
    <row r="1038" spans="1:13" x14ac:dyDescent="0.3">
      <c r="A1038" t="s">
        <v>211</v>
      </c>
      <c r="B1038" t="s">
        <v>1656</v>
      </c>
      <c r="C1038" s="1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  <c r="K1038" t="str">
        <f>TEXT(Table1[[#This Row],[PurchaseDate]],"mmm")</f>
        <v>Jun</v>
      </c>
      <c r="L1038">
        <f>YEAR(Table1[[#This Row],[PurchaseDate]])</f>
        <v>2025</v>
      </c>
      <c r="M1038" t="str">
        <f>IF(Table1[[#This Row],[TotalPrice]]&gt;2000,"High Sales","Low Sales")</f>
        <v>Low Sales</v>
      </c>
    </row>
    <row r="1039" spans="1:13" x14ac:dyDescent="0.3">
      <c r="A1039" t="s">
        <v>990</v>
      </c>
      <c r="B1039" t="s">
        <v>1652</v>
      </c>
      <c r="C1039" s="1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  <c r="K1039" t="str">
        <f>TEXT(Table1[[#This Row],[PurchaseDate]],"mmm")</f>
        <v>Apr</v>
      </c>
      <c r="L1039">
        <f>YEAR(Table1[[#This Row],[PurchaseDate]])</f>
        <v>2024</v>
      </c>
      <c r="M1039" t="str">
        <f>IF(Table1[[#This Row],[TotalPrice]]&gt;2000,"High Sales","Low Sales")</f>
        <v>Low Sales</v>
      </c>
    </row>
    <row r="1040" spans="1:13" x14ac:dyDescent="0.3">
      <c r="A1040" t="s">
        <v>991</v>
      </c>
      <c r="B1040" t="s">
        <v>1655</v>
      </c>
      <c r="C1040" s="1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  <c r="K1040" t="str">
        <f>TEXT(Table1[[#This Row],[PurchaseDate]],"mmm")</f>
        <v>Apr</v>
      </c>
      <c r="L1040">
        <f>YEAR(Table1[[#This Row],[PurchaseDate]])</f>
        <v>2024</v>
      </c>
      <c r="M1040" t="str">
        <f>IF(Table1[[#This Row],[TotalPrice]]&gt;2000,"High Sales","Low Sales")</f>
        <v>Low Sales</v>
      </c>
    </row>
    <row r="1041" spans="1:13" x14ac:dyDescent="0.3">
      <c r="A1041" t="s">
        <v>872</v>
      </c>
      <c r="B1041" t="s">
        <v>1658</v>
      </c>
      <c r="C1041" s="1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  <c r="K1041" t="str">
        <f>TEXT(Table1[[#This Row],[PurchaseDate]],"mmm")</f>
        <v>Feb</v>
      </c>
      <c r="L1041">
        <f>YEAR(Table1[[#This Row],[PurchaseDate]])</f>
        <v>2025</v>
      </c>
      <c r="M1041" t="str">
        <f>IF(Table1[[#This Row],[TotalPrice]]&gt;2000,"High Sales","Low Sales")</f>
        <v>High Sales</v>
      </c>
    </row>
    <row r="1042" spans="1:13" x14ac:dyDescent="0.3">
      <c r="A1042" t="s">
        <v>877</v>
      </c>
      <c r="B1042" t="s">
        <v>1654</v>
      </c>
      <c r="C1042" s="1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  <c r="K1042" t="str">
        <f>TEXT(Table1[[#This Row],[PurchaseDate]],"mmm")</f>
        <v>Jan</v>
      </c>
      <c r="L1042">
        <f>YEAR(Table1[[#This Row],[PurchaseDate]])</f>
        <v>2023</v>
      </c>
      <c r="M1042" t="str">
        <f>IF(Table1[[#This Row],[TotalPrice]]&gt;2000,"High Sales","Low Sales")</f>
        <v>Low Sales</v>
      </c>
    </row>
    <row r="1043" spans="1:13" x14ac:dyDescent="0.3">
      <c r="A1043" t="s">
        <v>992</v>
      </c>
      <c r="B1043" t="s">
        <v>1656</v>
      </c>
      <c r="C1043" s="1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  <c r="K1043" t="str">
        <f>TEXT(Table1[[#This Row],[PurchaseDate]],"mmm")</f>
        <v>Dec</v>
      </c>
      <c r="L1043">
        <f>YEAR(Table1[[#This Row],[PurchaseDate]])</f>
        <v>2023</v>
      </c>
      <c r="M1043" t="str">
        <f>IF(Table1[[#This Row],[TotalPrice]]&gt;2000,"High Sales","Low Sales")</f>
        <v>High Sales</v>
      </c>
    </row>
    <row r="1044" spans="1:13" x14ac:dyDescent="0.3">
      <c r="A1044" t="s">
        <v>993</v>
      </c>
      <c r="B1044" t="s">
        <v>1658</v>
      </c>
      <c r="C1044" s="1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  <c r="K1044" t="str">
        <f>TEXT(Table1[[#This Row],[PurchaseDate]],"mmm")</f>
        <v>May</v>
      </c>
      <c r="L1044">
        <f>YEAR(Table1[[#This Row],[PurchaseDate]])</f>
        <v>2023</v>
      </c>
      <c r="M1044" t="str">
        <f>IF(Table1[[#This Row],[TotalPrice]]&gt;2000,"High Sales","Low Sales")</f>
        <v>High Sales</v>
      </c>
    </row>
    <row r="1045" spans="1:13" x14ac:dyDescent="0.3">
      <c r="A1045" t="s">
        <v>994</v>
      </c>
      <c r="B1045" t="s">
        <v>1655</v>
      </c>
      <c r="C1045" s="1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  <c r="K1045" t="str">
        <f>TEXT(Table1[[#This Row],[PurchaseDate]],"mmm")</f>
        <v>Feb</v>
      </c>
      <c r="L1045">
        <f>YEAR(Table1[[#This Row],[PurchaseDate]])</f>
        <v>2023</v>
      </c>
      <c r="M1045" t="str">
        <f>IF(Table1[[#This Row],[TotalPrice]]&gt;2000,"High Sales","Low Sales")</f>
        <v>Low Sales</v>
      </c>
    </row>
    <row r="1046" spans="1:13" x14ac:dyDescent="0.3">
      <c r="A1046" t="s">
        <v>591</v>
      </c>
      <c r="B1046" t="s">
        <v>1658</v>
      </c>
      <c r="C1046" s="1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  <c r="K1046" t="str">
        <f>TEXT(Table1[[#This Row],[PurchaseDate]],"mmm")</f>
        <v>Jan</v>
      </c>
      <c r="L1046">
        <f>YEAR(Table1[[#This Row],[PurchaseDate]])</f>
        <v>2023</v>
      </c>
      <c r="M1046" t="str">
        <f>IF(Table1[[#This Row],[TotalPrice]]&gt;2000,"High Sales","Low Sales")</f>
        <v>Low Sales</v>
      </c>
    </row>
    <row r="1047" spans="1:13" x14ac:dyDescent="0.3">
      <c r="A1047" t="s">
        <v>116</v>
      </c>
      <c r="B1047" t="s">
        <v>1655</v>
      </c>
      <c r="C1047" s="1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  <c r="K1047" t="str">
        <f>TEXT(Table1[[#This Row],[PurchaseDate]],"mmm")</f>
        <v>Oct</v>
      </c>
      <c r="L1047">
        <f>YEAR(Table1[[#This Row],[PurchaseDate]])</f>
        <v>2024</v>
      </c>
      <c r="M1047" t="str">
        <f>IF(Table1[[#This Row],[TotalPrice]]&gt;2000,"High Sales","Low Sales")</f>
        <v>High Sales</v>
      </c>
    </row>
    <row r="1048" spans="1:13" x14ac:dyDescent="0.3">
      <c r="A1048" t="s">
        <v>995</v>
      </c>
      <c r="B1048" t="s">
        <v>1653</v>
      </c>
      <c r="C1048" s="1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  <c r="K1048" t="str">
        <f>TEXT(Table1[[#This Row],[PurchaseDate]],"mmm")</f>
        <v>May</v>
      </c>
      <c r="L1048">
        <f>YEAR(Table1[[#This Row],[PurchaseDate]])</f>
        <v>2023</v>
      </c>
      <c r="M1048" t="str">
        <f>IF(Table1[[#This Row],[TotalPrice]]&gt;2000,"High Sales","Low Sales")</f>
        <v>Low Sales</v>
      </c>
    </row>
    <row r="1049" spans="1:13" x14ac:dyDescent="0.3">
      <c r="A1049" t="s">
        <v>996</v>
      </c>
      <c r="B1049" t="s">
        <v>1652</v>
      </c>
      <c r="C1049" s="1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  <c r="K1049" t="str">
        <f>TEXT(Table1[[#This Row],[PurchaseDate]],"mmm")</f>
        <v>Oct</v>
      </c>
      <c r="L1049">
        <f>YEAR(Table1[[#This Row],[PurchaseDate]])</f>
        <v>2024</v>
      </c>
      <c r="M1049" t="str">
        <f>IF(Table1[[#This Row],[TotalPrice]]&gt;2000,"High Sales","Low Sales")</f>
        <v>Low Sales</v>
      </c>
    </row>
    <row r="1050" spans="1:13" x14ac:dyDescent="0.3">
      <c r="A1050" t="s">
        <v>997</v>
      </c>
      <c r="B1050" t="s">
        <v>1653</v>
      </c>
      <c r="C1050" s="1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  <c r="K1050" t="str">
        <f>TEXT(Table1[[#This Row],[PurchaseDate]],"mmm")</f>
        <v>May</v>
      </c>
      <c r="L1050">
        <f>YEAR(Table1[[#This Row],[PurchaseDate]])</f>
        <v>2023</v>
      </c>
      <c r="M1050" t="str">
        <f>IF(Table1[[#This Row],[TotalPrice]]&gt;2000,"High Sales","Low Sales")</f>
        <v>Low Sales</v>
      </c>
    </row>
    <row r="1051" spans="1:13" x14ac:dyDescent="0.3">
      <c r="A1051" t="s">
        <v>998</v>
      </c>
      <c r="B1051" t="s">
        <v>1653</v>
      </c>
      <c r="C1051" s="1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  <c r="K1051" t="str">
        <f>TEXT(Table1[[#This Row],[PurchaseDate]],"mmm")</f>
        <v>Nov</v>
      </c>
      <c r="L1051">
        <f>YEAR(Table1[[#This Row],[PurchaseDate]])</f>
        <v>2023</v>
      </c>
      <c r="M1051" t="str">
        <f>IF(Table1[[#This Row],[TotalPrice]]&gt;2000,"High Sales","Low Sales")</f>
        <v>Low Sales</v>
      </c>
    </row>
    <row r="1052" spans="1:13" x14ac:dyDescent="0.3">
      <c r="A1052" t="s">
        <v>999</v>
      </c>
      <c r="B1052" t="s">
        <v>1658</v>
      </c>
      <c r="C1052" s="1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  <c r="K1052" t="str">
        <f>TEXT(Table1[[#This Row],[PurchaseDate]],"mmm")</f>
        <v>Feb</v>
      </c>
      <c r="L1052">
        <f>YEAR(Table1[[#This Row],[PurchaseDate]])</f>
        <v>2024</v>
      </c>
      <c r="M1052" t="str">
        <f>IF(Table1[[#This Row],[TotalPrice]]&gt;2000,"High Sales","Low Sales")</f>
        <v>Low Sales</v>
      </c>
    </row>
    <row r="1053" spans="1:13" x14ac:dyDescent="0.3">
      <c r="A1053" t="s">
        <v>956</v>
      </c>
      <c r="B1053" t="s">
        <v>1653</v>
      </c>
      <c r="C1053" s="1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  <c r="K1053" t="str">
        <f>TEXT(Table1[[#This Row],[PurchaseDate]],"mmm")</f>
        <v>Jan</v>
      </c>
      <c r="L1053">
        <f>YEAR(Table1[[#This Row],[PurchaseDate]])</f>
        <v>2023</v>
      </c>
      <c r="M1053" t="str">
        <f>IF(Table1[[#This Row],[TotalPrice]]&gt;2000,"High Sales","Low Sales")</f>
        <v>Low Sales</v>
      </c>
    </row>
    <row r="1054" spans="1:13" x14ac:dyDescent="0.3">
      <c r="A1054" t="s">
        <v>1000</v>
      </c>
      <c r="B1054" t="s">
        <v>1656</v>
      </c>
      <c r="C1054" s="1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  <c r="K1054" t="str">
        <f>TEXT(Table1[[#This Row],[PurchaseDate]],"mmm")</f>
        <v>Nov</v>
      </c>
      <c r="L1054">
        <f>YEAR(Table1[[#This Row],[PurchaseDate]])</f>
        <v>2023</v>
      </c>
      <c r="M1054" t="str">
        <f>IF(Table1[[#This Row],[TotalPrice]]&gt;2000,"High Sales","Low Sales")</f>
        <v>Low Sales</v>
      </c>
    </row>
    <row r="1055" spans="1:13" x14ac:dyDescent="0.3">
      <c r="A1055" t="s">
        <v>1001</v>
      </c>
      <c r="B1055" t="s">
        <v>1655</v>
      </c>
      <c r="C1055" s="1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  <c r="K1055" t="str">
        <f>TEXT(Table1[[#This Row],[PurchaseDate]],"mmm")</f>
        <v>May</v>
      </c>
      <c r="L1055">
        <f>YEAR(Table1[[#This Row],[PurchaseDate]])</f>
        <v>2023</v>
      </c>
      <c r="M1055" t="str">
        <f>IF(Table1[[#This Row],[TotalPrice]]&gt;2000,"High Sales","Low Sales")</f>
        <v>High Sales</v>
      </c>
    </row>
    <row r="1056" spans="1:13" x14ac:dyDescent="0.3">
      <c r="A1056" t="s">
        <v>1002</v>
      </c>
      <c r="B1056" t="s">
        <v>1658</v>
      </c>
      <c r="C1056" s="1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  <c r="K1056" t="str">
        <f>TEXT(Table1[[#This Row],[PurchaseDate]],"mmm")</f>
        <v>Feb</v>
      </c>
      <c r="L1056">
        <f>YEAR(Table1[[#This Row],[PurchaseDate]])</f>
        <v>2025</v>
      </c>
      <c r="M1056" t="str">
        <f>IF(Table1[[#This Row],[TotalPrice]]&gt;2000,"High Sales","Low Sales")</f>
        <v>Low Sales</v>
      </c>
    </row>
    <row r="1057" spans="1:13" x14ac:dyDescent="0.3">
      <c r="A1057" t="s">
        <v>1003</v>
      </c>
      <c r="B1057" t="s">
        <v>1655</v>
      </c>
      <c r="C1057" s="1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  <c r="K1057" t="str">
        <f>TEXT(Table1[[#This Row],[PurchaseDate]],"mmm")</f>
        <v>Sep</v>
      </c>
      <c r="L1057">
        <f>YEAR(Table1[[#This Row],[PurchaseDate]])</f>
        <v>2024</v>
      </c>
      <c r="M1057" t="str">
        <f>IF(Table1[[#This Row],[TotalPrice]]&gt;2000,"High Sales","Low Sales")</f>
        <v>Low Sales</v>
      </c>
    </row>
    <row r="1058" spans="1:13" x14ac:dyDescent="0.3">
      <c r="A1058" t="s">
        <v>1004</v>
      </c>
      <c r="B1058" t="s">
        <v>1657</v>
      </c>
      <c r="C1058" s="1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  <c r="K1058" t="str">
        <f>TEXT(Table1[[#This Row],[PurchaseDate]],"mmm")</f>
        <v>Feb</v>
      </c>
      <c r="L1058">
        <f>YEAR(Table1[[#This Row],[PurchaseDate]])</f>
        <v>2025</v>
      </c>
      <c r="M1058" t="str">
        <f>IF(Table1[[#This Row],[TotalPrice]]&gt;2000,"High Sales","Low Sales")</f>
        <v>Low Sales</v>
      </c>
    </row>
    <row r="1059" spans="1:13" x14ac:dyDescent="0.3">
      <c r="A1059" t="s">
        <v>1005</v>
      </c>
      <c r="B1059" t="s">
        <v>1654</v>
      </c>
      <c r="C1059" s="1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  <c r="K1059" t="str">
        <f>TEXT(Table1[[#This Row],[PurchaseDate]],"mmm")</f>
        <v>Feb</v>
      </c>
      <c r="L1059">
        <f>YEAR(Table1[[#This Row],[PurchaseDate]])</f>
        <v>2023</v>
      </c>
      <c r="M1059" t="str">
        <f>IF(Table1[[#This Row],[TotalPrice]]&gt;2000,"High Sales","Low Sales")</f>
        <v>Low Sales</v>
      </c>
    </row>
    <row r="1060" spans="1:13" x14ac:dyDescent="0.3">
      <c r="A1060" t="s">
        <v>75</v>
      </c>
      <c r="B1060" t="s">
        <v>1655</v>
      </c>
      <c r="C1060" s="1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  <c r="K1060" t="str">
        <f>TEXT(Table1[[#This Row],[PurchaseDate]],"mmm")</f>
        <v>Aug</v>
      </c>
      <c r="L1060">
        <f>YEAR(Table1[[#This Row],[PurchaseDate]])</f>
        <v>2023</v>
      </c>
      <c r="M1060" t="str">
        <f>IF(Table1[[#This Row],[TotalPrice]]&gt;2000,"High Sales","Low Sales")</f>
        <v>Low Sales</v>
      </c>
    </row>
    <row r="1061" spans="1:13" x14ac:dyDescent="0.3">
      <c r="A1061" t="s">
        <v>453</v>
      </c>
      <c r="B1061" t="s">
        <v>1653</v>
      </c>
      <c r="C1061" s="1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  <c r="K1061" t="str">
        <f>TEXT(Table1[[#This Row],[PurchaseDate]],"mmm")</f>
        <v>Feb</v>
      </c>
      <c r="L1061">
        <f>YEAR(Table1[[#This Row],[PurchaseDate]])</f>
        <v>2024</v>
      </c>
      <c r="M1061" t="str">
        <f>IF(Table1[[#This Row],[TotalPrice]]&gt;2000,"High Sales","Low Sales")</f>
        <v>Low Sales</v>
      </c>
    </row>
    <row r="1062" spans="1:13" x14ac:dyDescent="0.3">
      <c r="A1062" t="s">
        <v>1006</v>
      </c>
      <c r="B1062" t="s">
        <v>1652</v>
      </c>
      <c r="C1062" s="1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  <c r="K1062" t="str">
        <f>TEXT(Table1[[#This Row],[PurchaseDate]],"mmm")</f>
        <v>Apr</v>
      </c>
      <c r="L1062">
        <f>YEAR(Table1[[#This Row],[PurchaseDate]])</f>
        <v>2023</v>
      </c>
      <c r="M1062" t="str">
        <f>IF(Table1[[#This Row],[TotalPrice]]&gt;2000,"High Sales","Low Sales")</f>
        <v>Low Sales</v>
      </c>
    </row>
    <row r="1063" spans="1:13" x14ac:dyDescent="0.3">
      <c r="A1063" t="s">
        <v>1007</v>
      </c>
      <c r="B1063" t="s">
        <v>1658</v>
      </c>
      <c r="C1063" s="1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  <c r="K1063" t="str">
        <f>TEXT(Table1[[#This Row],[PurchaseDate]],"mmm")</f>
        <v>May</v>
      </c>
      <c r="L1063">
        <f>YEAR(Table1[[#This Row],[PurchaseDate]])</f>
        <v>2025</v>
      </c>
      <c r="M1063" t="str">
        <f>IF(Table1[[#This Row],[TotalPrice]]&gt;2000,"High Sales","Low Sales")</f>
        <v>High Sales</v>
      </c>
    </row>
    <row r="1064" spans="1:13" x14ac:dyDescent="0.3">
      <c r="A1064" t="s">
        <v>1008</v>
      </c>
      <c r="B1064" t="s">
        <v>1656</v>
      </c>
      <c r="C1064" s="1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  <c r="K1064" t="str">
        <f>TEXT(Table1[[#This Row],[PurchaseDate]],"mmm")</f>
        <v>May</v>
      </c>
      <c r="L1064">
        <f>YEAR(Table1[[#This Row],[PurchaseDate]])</f>
        <v>2024</v>
      </c>
      <c r="M1064" t="str">
        <f>IF(Table1[[#This Row],[TotalPrice]]&gt;2000,"High Sales","Low Sales")</f>
        <v>High Sales</v>
      </c>
    </row>
    <row r="1065" spans="1:13" x14ac:dyDescent="0.3">
      <c r="A1065" t="s">
        <v>1009</v>
      </c>
      <c r="B1065" t="s">
        <v>1655</v>
      </c>
      <c r="C1065" s="1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  <c r="K1065" t="str">
        <f>TEXT(Table1[[#This Row],[PurchaseDate]],"mmm")</f>
        <v>Oct</v>
      </c>
      <c r="L1065">
        <f>YEAR(Table1[[#This Row],[PurchaseDate]])</f>
        <v>2023</v>
      </c>
      <c r="M1065" t="str">
        <f>IF(Table1[[#This Row],[TotalPrice]]&gt;2000,"High Sales","Low Sales")</f>
        <v>Low Sales</v>
      </c>
    </row>
    <row r="1066" spans="1:13" x14ac:dyDescent="0.3">
      <c r="A1066" t="s">
        <v>1010</v>
      </c>
      <c r="B1066" t="s">
        <v>1658</v>
      </c>
      <c r="C1066" s="1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  <c r="K1066" t="str">
        <f>TEXT(Table1[[#This Row],[PurchaseDate]],"mmm")</f>
        <v>Nov</v>
      </c>
      <c r="L1066">
        <f>YEAR(Table1[[#This Row],[PurchaseDate]])</f>
        <v>2023</v>
      </c>
      <c r="M1066" t="str">
        <f>IF(Table1[[#This Row],[TotalPrice]]&gt;2000,"High Sales","Low Sales")</f>
        <v>Low Sales</v>
      </c>
    </row>
    <row r="1067" spans="1:13" x14ac:dyDescent="0.3">
      <c r="A1067" t="s">
        <v>1011</v>
      </c>
      <c r="B1067" t="s">
        <v>1655</v>
      </c>
      <c r="C1067" s="1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  <c r="K1067" t="str">
        <f>TEXT(Table1[[#This Row],[PurchaseDate]],"mmm")</f>
        <v>Jan</v>
      </c>
      <c r="L1067">
        <f>YEAR(Table1[[#This Row],[PurchaseDate]])</f>
        <v>2024</v>
      </c>
      <c r="M1067" t="str">
        <f>IF(Table1[[#This Row],[TotalPrice]]&gt;2000,"High Sales","Low Sales")</f>
        <v>High Sales</v>
      </c>
    </row>
    <row r="1068" spans="1:13" x14ac:dyDescent="0.3">
      <c r="A1068" t="s">
        <v>1012</v>
      </c>
      <c r="B1068" t="s">
        <v>1654</v>
      </c>
      <c r="C1068" s="1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  <c r="K1068" t="str">
        <f>TEXT(Table1[[#This Row],[PurchaseDate]],"mmm")</f>
        <v>Mar</v>
      </c>
      <c r="L1068">
        <f>YEAR(Table1[[#This Row],[PurchaseDate]])</f>
        <v>2023</v>
      </c>
      <c r="M1068" t="str">
        <f>IF(Table1[[#This Row],[TotalPrice]]&gt;2000,"High Sales","Low Sales")</f>
        <v>High Sales</v>
      </c>
    </row>
    <row r="1069" spans="1:13" x14ac:dyDescent="0.3">
      <c r="A1069" t="s">
        <v>1013</v>
      </c>
      <c r="B1069" t="s">
        <v>1657</v>
      </c>
      <c r="C1069" s="1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  <c r="K1069" t="str">
        <f>TEXT(Table1[[#This Row],[PurchaseDate]],"mmm")</f>
        <v>May</v>
      </c>
      <c r="L1069">
        <f>YEAR(Table1[[#This Row],[PurchaseDate]])</f>
        <v>2023</v>
      </c>
      <c r="M1069" t="str">
        <f>IF(Table1[[#This Row],[TotalPrice]]&gt;2000,"High Sales","Low Sales")</f>
        <v>Low Sales</v>
      </c>
    </row>
    <row r="1070" spans="1:13" x14ac:dyDescent="0.3">
      <c r="A1070" t="s">
        <v>1014</v>
      </c>
      <c r="B1070" t="s">
        <v>1657</v>
      </c>
      <c r="C1070" s="1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  <c r="K1070" t="str">
        <f>TEXT(Table1[[#This Row],[PurchaseDate]],"mmm")</f>
        <v>May</v>
      </c>
      <c r="L1070">
        <f>YEAR(Table1[[#This Row],[PurchaseDate]])</f>
        <v>2023</v>
      </c>
      <c r="M1070" t="str">
        <f>IF(Table1[[#This Row],[TotalPrice]]&gt;2000,"High Sales","Low Sales")</f>
        <v>Low Sales</v>
      </c>
    </row>
    <row r="1071" spans="1:13" x14ac:dyDescent="0.3">
      <c r="A1071" t="s">
        <v>1015</v>
      </c>
      <c r="B1071" t="s">
        <v>1652</v>
      </c>
      <c r="C1071" s="1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  <c r="K1071" t="str">
        <f>TEXT(Table1[[#This Row],[PurchaseDate]],"mmm")</f>
        <v>Dec</v>
      </c>
      <c r="L1071">
        <f>YEAR(Table1[[#This Row],[PurchaseDate]])</f>
        <v>2023</v>
      </c>
      <c r="M1071" t="str">
        <f>IF(Table1[[#This Row],[TotalPrice]]&gt;2000,"High Sales","Low Sales")</f>
        <v>Low Sales</v>
      </c>
    </row>
    <row r="1072" spans="1:13" x14ac:dyDescent="0.3">
      <c r="A1072" t="s">
        <v>1016</v>
      </c>
      <c r="B1072" t="s">
        <v>1654</v>
      </c>
      <c r="C1072" s="1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  <c r="K1072" t="str">
        <f>TEXT(Table1[[#This Row],[PurchaseDate]],"mmm")</f>
        <v>May</v>
      </c>
      <c r="L1072">
        <f>YEAR(Table1[[#This Row],[PurchaseDate]])</f>
        <v>2023</v>
      </c>
      <c r="M1072" t="str">
        <f>IF(Table1[[#This Row],[TotalPrice]]&gt;2000,"High Sales","Low Sales")</f>
        <v>Low Sales</v>
      </c>
    </row>
    <row r="1073" spans="1:13" x14ac:dyDescent="0.3">
      <c r="A1073" t="s">
        <v>1017</v>
      </c>
      <c r="B1073" t="s">
        <v>1658</v>
      </c>
      <c r="C1073" s="1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  <c r="K1073" t="str">
        <f>TEXT(Table1[[#This Row],[PurchaseDate]],"mmm")</f>
        <v>Mar</v>
      </c>
      <c r="L1073">
        <f>YEAR(Table1[[#This Row],[PurchaseDate]])</f>
        <v>2023</v>
      </c>
      <c r="M1073" t="str">
        <f>IF(Table1[[#This Row],[TotalPrice]]&gt;2000,"High Sales","Low Sales")</f>
        <v>High Sales</v>
      </c>
    </row>
    <row r="1074" spans="1:13" x14ac:dyDescent="0.3">
      <c r="A1074" t="s">
        <v>1018</v>
      </c>
      <c r="B1074" t="s">
        <v>1655</v>
      </c>
      <c r="C1074" s="1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  <c r="K1074" t="str">
        <f>TEXT(Table1[[#This Row],[PurchaseDate]],"mmm")</f>
        <v>Jun</v>
      </c>
      <c r="L1074">
        <f>YEAR(Table1[[#This Row],[PurchaseDate]])</f>
        <v>2023</v>
      </c>
      <c r="M1074" t="str">
        <f>IF(Table1[[#This Row],[TotalPrice]]&gt;2000,"High Sales","Low Sales")</f>
        <v>High Sales</v>
      </c>
    </row>
    <row r="1075" spans="1:13" x14ac:dyDescent="0.3">
      <c r="A1075" t="s">
        <v>1019</v>
      </c>
      <c r="B1075" t="s">
        <v>1657</v>
      </c>
      <c r="C1075" s="1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  <c r="K1075" t="str">
        <f>TEXT(Table1[[#This Row],[PurchaseDate]],"mmm")</f>
        <v>Jul</v>
      </c>
      <c r="L1075">
        <f>YEAR(Table1[[#This Row],[PurchaseDate]])</f>
        <v>2024</v>
      </c>
      <c r="M1075" t="str">
        <f>IF(Table1[[#This Row],[TotalPrice]]&gt;2000,"High Sales","Low Sales")</f>
        <v>Low Sales</v>
      </c>
    </row>
    <row r="1076" spans="1:13" x14ac:dyDescent="0.3">
      <c r="A1076" t="s">
        <v>1020</v>
      </c>
      <c r="B1076" t="s">
        <v>1654</v>
      </c>
      <c r="C1076" s="1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  <c r="K1076" t="str">
        <f>TEXT(Table1[[#This Row],[PurchaseDate]],"mmm")</f>
        <v>Oct</v>
      </c>
      <c r="L1076">
        <f>YEAR(Table1[[#This Row],[PurchaseDate]])</f>
        <v>2024</v>
      </c>
      <c r="M1076" t="str">
        <f>IF(Table1[[#This Row],[TotalPrice]]&gt;2000,"High Sales","Low Sales")</f>
        <v>Low Sales</v>
      </c>
    </row>
    <row r="1077" spans="1:13" x14ac:dyDescent="0.3">
      <c r="A1077" t="s">
        <v>1021</v>
      </c>
      <c r="B1077" t="s">
        <v>1655</v>
      </c>
      <c r="C1077" s="1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  <c r="K1077" t="str">
        <f>TEXT(Table1[[#This Row],[PurchaseDate]],"mmm")</f>
        <v>Apr</v>
      </c>
      <c r="L1077">
        <f>YEAR(Table1[[#This Row],[PurchaseDate]])</f>
        <v>2025</v>
      </c>
      <c r="M1077" t="str">
        <f>IF(Table1[[#This Row],[TotalPrice]]&gt;2000,"High Sales","Low Sales")</f>
        <v>Low Sales</v>
      </c>
    </row>
    <row r="1078" spans="1:13" x14ac:dyDescent="0.3">
      <c r="A1078" t="s">
        <v>1022</v>
      </c>
      <c r="B1078" t="s">
        <v>1657</v>
      </c>
      <c r="C1078" s="1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  <c r="K1078" t="str">
        <f>TEXT(Table1[[#This Row],[PurchaseDate]],"mmm")</f>
        <v>Mar</v>
      </c>
      <c r="L1078">
        <f>YEAR(Table1[[#This Row],[PurchaseDate]])</f>
        <v>2024</v>
      </c>
      <c r="M1078" t="str">
        <f>IF(Table1[[#This Row],[TotalPrice]]&gt;2000,"High Sales","Low Sales")</f>
        <v>Low Sales</v>
      </c>
    </row>
    <row r="1079" spans="1:13" x14ac:dyDescent="0.3">
      <c r="A1079" t="s">
        <v>1023</v>
      </c>
      <c r="B1079" t="s">
        <v>1656</v>
      </c>
      <c r="C1079" s="1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  <c r="K1079" t="str">
        <f>TEXT(Table1[[#This Row],[PurchaseDate]],"mmm")</f>
        <v>Jan</v>
      </c>
      <c r="L1079">
        <f>YEAR(Table1[[#This Row],[PurchaseDate]])</f>
        <v>2023</v>
      </c>
      <c r="M1079" t="str">
        <f>IF(Table1[[#This Row],[TotalPrice]]&gt;2000,"High Sales","Low Sales")</f>
        <v>High Sales</v>
      </c>
    </row>
    <row r="1080" spans="1:13" x14ac:dyDescent="0.3">
      <c r="A1080" t="s">
        <v>1024</v>
      </c>
      <c r="B1080" t="s">
        <v>1653</v>
      </c>
      <c r="C1080" s="1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  <c r="K1080" t="str">
        <f>TEXT(Table1[[#This Row],[PurchaseDate]],"mmm")</f>
        <v>Jul</v>
      </c>
      <c r="L1080">
        <f>YEAR(Table1[[#This Row],[PurchaseDate]])</f>
        <v>2023</v>
      </c>
      <c r="M1080" t="str">
        <f>IF(Table1[[#This Row],[TotalPrice]]&gt;2000,"High Sales","Low Sales")</f>
        <v>Low Sales</v>
      </c>
    </row>
    <row r="1081" spans="1:13" x14ac:dyDescent="0.3">
      <c r="A1081" t="s">
        <v>1025</v>
      </c>
      <c r="B1081" t="s">
        <v>1658</v>
      </c>
      <c r="C1081" s="1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  <c r="K1081" t="str">
        <f>TEXT(Table1[[#This Row],[PurchaseDate]],"mmm")</f>
        <v>Nov</v>
      </c>
      <c r="L1081">
        <f>YEAR(Table1[[#This Row],[PurchaseDate]])</f>
        <v>2023</v>
      </c>
      <c r="M1081" t="str">
        <f>IF(Table1[[#This Row],[TotalPrice]]&gt;2000,"High Sales","Low Sales")</f>
        <v>Low Sales</v>
      </c>
    </row>
    <row r="1082" spans="1:13" x14ac:dyDescent="0.3">
      <c r="A1082" t="s">
        <v>1026</v>
      </c>
      <c r="B1082" t="s">
        <v>1657</v>
      </c>
      <c r="C1082" s="1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  <c r="K1082" t="str">
        <f>TEXT(Table1[[#This Row],[PurchaseDate]],"mmm")</f>
        <v>Jan</v>
      </c>
      <c r="L1082">
        <f>YEAR(Table1[[#This Row],[PurchaseDate]])</f>
        <v>2025</v>
      </c>
      <c r="M1082" t="str">
        <f>IF(Table1[[#This Row],[TotalPrice]]&gt;2000,"High Sales","Low Sales")</f>
        <v>Low Sales</v>
      </c>
    </row>
    <row r="1083" spans="1:13" x14ac:dyDescent="0.3">
      <c r="A1083" t="s">
        <v>1027</v>
      </c>
      <c r="B1083" t="s">
        <v>1654</v>
      </c>
      <c r="C1083" s="1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  <c r="K1083" t="str">
        <f>TEXT(Table1[[#This Row],[PurchaseDate]],"mmm")</f>
        <v>Aug</v>
      </c>
      <c r="L1083">
        <f>YEAR(Table1[[#This Row],[PurchaseDate]])</f>
        <v>2023</v>
      </c>
      <c r="M1083" t="str">
        <f>IF(Table1[[#This Row],[TotalPrice]]&gt;2000,"High Sales","Low Sales")</f>
        <v>Low Sales</v>
      </c>
    </row>
    <row r="1084" spans="1:13" x14ac:dyDescent="0.3">
      <c r="A1084" t="s">
        <v>1028</v>
      </c>
      <c r="B1084" t="s">
        <v>1654</v>
      </c>
      <c r="C1084" s="1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  <c r="K1084" t="str">
        <f>TEXT(Table1[[#This Row],[PurchaseDate]],"mmm")</f>
        <v>Jul</v>
      </c>
      <c r="L1084">
        <f>YEAR(Table1[[#This Row],[PurchaseDate]])</f>
        <v>2024</v>
      </c>
      <c r="M1084" t="str">
        <f>IF(Table1[[#This Row],[TotalPrice]]&gt;2000,"High Sales","Low Sales")</f>
        <v>Low Sales</v>
      </c>
    </row>
    <row r="1085" spans="1:13" x14ac:dyDescent="0.3">
      <c r="A1085" t="s">
        <v>1029</v>
      </c>
      <c r="B1085" t="s">
        <v>1652</v>
      </c>
      <c r="C1085" s="1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  <c r="K1085" t="str">
        <f>TEXT(Table1[[#This Row],[PurchaseDate]],"mmm")</f>
        <v>Jun</v>
      </c>
      <c r="L1085">
        <f>YEAR(Table1[[#This Row],[PurchaseDate]])</f>
        <v>2024</v>
      </c>
      <c r="M1085" t="str">
        <f>IF(Table1[[#This Row],[TotalPrice]]&gt;2000,"High Sales","Low Sales")</f>
        <v>Low Sales</v>
      </c>
    </row>
    <row r="1086" spans="1:13" x14ac:dyDescent="0.3">
      <c r="A1086" t="s">
        <v>1030</v>
      </c>
      <c r="B1086" t="s">
        <v>1656</v>
      </c>
      <c r="C1086" s="1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  <c r="K1086" t="str">
        <f>TEXT(Table1[[#This Row],[PurchaseDate]],"mmm")</f>
        <v>Feb</v>
      </c>
      <c r="L1086">
        <f>YEAR(Table1[[#This Row],[PurchaseDate]])</f>
        <v>2025</v>
      </c>
      <c r="M1086" t="str">
        <f>IF(Table1[[#This Row],[TotalPrice]]&gt;2000,"High Sales","Low Sales")</f>
        <v>High Sales</v>
      </c>
    </row>
    <row r="1087" spans="1:13" x14ac:dyDescent="0.3">
      <c r="A1087" t="s">
        <v>1031</v>
      </c>
      <c r="B1087" t="s">
        <v>1654</v>
      </c>
      <c r="C1087" s="1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  <c r="K1087" t="str">
        <f>TEXT(Table1[[#This Row],[PurchaseDate]],"mmm")</f>
        <v>Aug</v>
      </c>
      <c r="L1087">
        <f>YEAR(Table1[[#This Row],[PurchaseDate]])</f>
        <v>2023</v>
      </c>
      <c r="M1087" t="str">
        <f>IF(Table1[[#This Row],[TotalPrice]]&gt;2000,"High Sales","Low Sales")</f>
        <v>Low Sales</v>
      </c>
    </row>
    <row r="1088" spans="1:13" x14ac:dyDescent="0.3">
      <c r="A1088" t="s">
        <v>1032</v>
      </c>
      <c r="B1088" t="s">
        <v>1657</v>
      </c>
      <c r="C1088" s="1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  <c r="K1088" t="str">
        <f>TEXT(Table1[[#This Row],[PurchaseDate]],"mmm")</f>
        <v>Mar</v>
      </c>
      <c r="L1088">
        <f>YEAR(Table1[[#This Row],[PurchaseDate]])</f>
        <v>2023</v>
      </c>
      <c r="M1088" t="str">
        <f>IF(Table1[[#This Row],[TotalPrice]]&gt;2000,"High Sales","Low Sales")</f>
        <v>High Sales</v>
      </c>
    </row>
    <row r="1089" spans="1:13" x14ac:dyDescent="0.3">
      <c r="A1089" t="s">
        <v>1033</v>
      </c>
      <c r="B1089" t="s">
        <v>1652</v>
      </c>
      <c r="C1089" s="1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  <c r="K1089" t="str">
        <f>TEXT(Table1[[#This Row],[PurchaseDate]],"mmm")</f>
        <v>Jul</v>
      </c>
      <c r="L1089">
        <f>YEAR(Table1[[#This Row],[PurchaseDate]])</f>
        <v>2023</v>
      </c>
      <c r="M1089" t="str">
        <f>IF(Table1[[#This Row],[TotalPrice]]&gt;2000,"High Sales","Low Sales")</f>
        <v>High Sales</v>
      </c>
    </row>
    <row r="1090" spans="1:13" x14ac:dyDescent="0.3">
      <c r="A1090" t="s">
        <v>1034</v>
      </c>
      <c r="B1090" t="s">
        <v>1658</v>
      </c>
      <c r="C1090" s="1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  <c r="K1090" t="str">
        <f>TEXT(Table1[[#This Row],[PurchaseDate]],"mmm")</f>
        <v>Dec</v>
      </c>
      <c r="L1090">
        <f>YEAR(Table1[[#This Row],[PurchaseDate]])</f>
        <v>2024</v>
      </c>
      <c r="M1090" t="str">
        <f>IF(Table1[[#This Row],[TotalPrice]]&gt;2000,"High Sales","Low Sales")</f>
        <v>Low Sales</v>
      </c>
    </row>
    <row r="1091" spans="1:13" x14ac:dyDescent="0.3">
      <c r="A1091" t="s">
        <v>1035</v>
      </c>
      <c r="B1091" t="s">
        <v>1653</v>
      </c>
      <c r="C1091" s="1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  <c r="K1091" t="str">
        <f>TEXT(Table1[[#This Row],[PurchaseDate]],"mmm")</f>
        <v>Sep</v>
      </c>
      <c r="L1091">
        <f>YEAR(Table1[[#This Row],[PurchaseDate]])</f>
        <v>2023</v>
      </c>
      <c r="M1091" t="str">
        <f>IF(Table1[[#This Row],[TotalPrice]]&gt;2000,"High Sales","Low Sales")</f>
        <v>Low Sales</v>
      </c>
    </row>
    <row r="1092" spans="1:13" x14ac:dyDescent="0.3">
      <c r="A1092" t="s">
        <v>1036</v>
      </c>
      <c r="B1092" t="s">
        <v>1658</v>
      </c>
      <c r="C1092" s="1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  <c r="K1092" t="str">
        <f>TEXT(Table1[[#This Row],[PurchaseDate]],"mmm")</f>
        <v>Feb</v>
      </c>
      <c r="L1092">
        <f>YEAR(Table1[[#This Row],[PurchaseDate]])</f>
        <v>2025</v>
      </c>
      <c r="M1092" t="str">
        <f>IF(Table1[[#This Row],[TotalPrice]]&gt;2000,"High Sales","Low Sales")</f>
        <v>Low Sales</v>
      </c>
    </row>
    <row r="1093" spans="1:13" x14ac:dyDescent="0.3">
      <c r="A1093" t="s">
        <v>1037</v>
      </c>
      <c r="B1093" t="s">
        <v>1658</v>
      </c>
      <c r="C1093" s="1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  <c r="K1093" t="str">
        <f>TEXT(Table1[[#This Row],[PurchaseDate]],"mmm")</f>
        <v>May</v>
      </c>
      <c r="L1093">
        <f>YEAR(Table1[[#This Row],[PurchaseDate]])</f>
        <v>2024</v>
      </c>
      <c r="M1093" t="str">
        <f>IF(Table1[[#This Row],[TotalPrice]]&gt;2000,"High Sales","Low Sales")</f>
        <v>High Sales</v>
      </c>
    </row>
    <row r="1094" spans="1:13" x14ac:dyDescent="0.3">
      <c r="A1094" t="s">
        <v>1038</v>
      </c>
      <c r="B1094" t="s">
        <v>1653</v>
      </c>
      <c r="C1094" s="1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  <c r="K1094" t="str">
        <f>TEXT(Table1[[#This Row],[PurchaseDate]],"mmm")</f>
        <v>May</v>
      </c>
      <c r="L1094">
        <f>YEAR(Table1[[#This Row],[PurchaseDate]])</f>
        <v>2024</v>
      </c>
      <c r="M1094" t="str">
        <f>IF(Table1[[#This Row],[TotalPrice]]&gt;2000,"High Sales","Low Sales")</f>
        <v>Low Sales</v>
      </c>
    </row>
    <row r="1095" spans="1:13" x14ac:dyDescent="0.3">
      <c r="A1095" t="s">
        <v>1039</v>
      </c>
      <c r="B1095" t="s">
        <v>1654</v>
      </c>
      <c r="C1095" s="1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  <c r="K1095" t="str">
        <f>TEXT(Table1[[#This Row],[PurchaseDate]],"mmm")</f>
        <v>Nov</v>
      </c>
      <c r="L1095">
        <f>YEAR(Table1[[#This Row],[PurchaseDate]])</f>
        <v>2023</v>
      </c>
      <c r="M1095" t="str">
        <f>IF(Table1[[#This Row],[TotalPrice]]&gt;2000,"High Sales","Low Sales")</f>
        <v>Low Sales</v>
      </c>
    </row>
    <row r="1096" spans="1:13" x14ac:dyDescent="0.3">
      <c r="A1096" t="s">
        <v>1040</v>
      </c>
      <c r="B1096" t="s">
        <v>1653</v>
      </c>
      <c r="C1096" s="1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  <c r="K1096" t="str">
        <f>TEXT(Table1[[#This Row],[PurchaseDate]],"mmm")</f>
        <v>Jul</v>
      </c>
      <c r="L1096">
        <f>YEAR(Table1[[#This Row],[PurchaseDate]])</f>
        <v>2024</v>
      </c>
      <c r="M1096" t="str">
        <f>IF(Table1[[#This Row],[TotalPrice]]&gt;2000,"High Sales","Low Sales")</f>
        <v>Low Sales</v>
      </c>
    </row>
    <row r="1097" spans="1:13" x14ac:dyDescent="0.3">
      <c r="A1097" t="s">
        <v>36</v>
      </c>
      <c r="B1097" t="s">
        <v>1652</v>
      </c>
      <c r="C1097" s="1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  <c r="K1097" t="str">
        <f>TEXT(Table1[[#This Row],[PurchaseDate]],"mmm")</f>
        <v>Feb</v>
      </c>
      <c r="L1097">
        <f>YEAR(Table1[[#This Row],[PurchaseDate]])</f>
        <v>2025</v>
      </c>
      <c r="M1097" t="str">
        <f>IF(Table1[[#This Row],[TotalPrice]]&gt;2000,"High Sales","Low Sales")</f>
        <v>High Sales</v>
      </c>
    </row>
    <row r="1098" spans="1:13" x14ac:dyDescent="0.3">
      <c r="A1098" t="s">
        <v>1041</v>
      </c>
      <c r="B1098" t="s">
        <v>1652</v>
      </c>
      <c r="C1098" s="1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  <c r="K1098" t="str">
        <f>TEXT(Table1[[#This Row],[PurchaseDate]],"mmm")</f>
        <v>Feb</v>
      </c>
      <c r="L1098">
        <f>YEAR(Table1[[#This Row],[PurchaseDate]])</f>
        <v>2025</v>
      </c>
      <c r="M1098" t="str">
        <f>IF(Table1[[#This Row],[TotalPrice]]&gt;2000,"High Sales","Low Sales")</f>
        <v>Low Sales</v>
      </c>
    </row>
    <row r="1099" spans="1:13" x14ac:dyDescent="0.3">
      <c r="A1099" t="s">
        <v>1042</v>
      </c>
      <c r="B1099" t="s">
        <v>1658</v>
      </c>
      <c r="C1099" s="1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  <c r="K1099" t="str">
        <f>TEXT(Table1[[#This Row],[PurchaseDate]],"mmm")</f>
        <v>Jun</v>
      </c>
      <c r="L1099">
        <f>YEAR(Table1[[#This Row],[PurchaseDate]])</f>
        <v>2023</v>
      </c>
      <c r="M1099" t="str">
        <f>IF(Table1[[#This Row],[TotalPrice]]&gt;2000,"High Sales","Low Sales")</f>
        <v>Low Sales</v>
      </c>
    </row>
    <row r="1100" spans="1:13" x14ac:dyDescent="0.3">
      <c r="A1100" t="s">
        <v>1043</v>
      </c>
      <c r="B1100" t="s">
        <v>1652</v>
      </c>
      <c r="C1100" s="1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  <c r="K1100" t="str">
        <f>TEXT(Table1[[#This Row],[PurchaseDate]],"mmm")</f>
        <v>May</v>
      </c>
      <c r="L1100">
        <f>YEAR(Table1[[#This Row],[PurchaseDate]])</f>
        <v>2023</v>
      </c>
      <c r="M1100" t="str">
        <f>IF(Table1[[#This Row],[TotalPrice]]&gt;2000,"High Sales","Low Sales")</f>
        <v>Low Sales</v>
      </c>
    </row>
    <row r="1101" spans="1:13" x14ac:dyDescent="0.3">
      <c r="A1101" t="s">
        <v>1044</v>
      </c>
      <c r="B1101" t="s">
        <v>1652</v>
      </c>
      <c r="C1101" s="1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  <c r="K1101" t="str">
        <f>TEXT(Table1[[#This Row],[PurchaseDate]],"mmm")</f>
        <v>May</v>
      </c>
      <c r="L1101">
        <f>YEAR(Table1[[#This Row],[PurchaseDate]])</f>
        <v>2023</v>
      </c>
      <c r="M1101" t="str">
        <f>IF(Table1[[#This Row],[TotalPrice]]&gt;2000,"High Sales","Low Sales")</f>
        <v>Low Sales</v>
      </c>
    </row>
    <row r="1102" spans="1:13" x14ac:dyDescent="0.3">
      <c r="A1102" t="s">
        <v>1045</v>
      </c>
      <c r="B1102" t="s">
        <v>1658</v>
      </c>
      <c r="C1102" s="1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  <c r="K1102" t="str">
        <f>TEXT(Table1[[#This Row],[PurchaseDate]],"mmm")</f>
        <v>Dec</v>
      </c>
      <c r="L1102">
        <f>YEAR(Table1[[#This Row],[PurchaseDate]])</f>
        <v>2024</v>
      </c>
      <c r="M1102" t="str">
        <f>IF(Table1[[#This Row],[TotalPrice]]&gt;2000,"High Sales","Low Sales")</f>
        <v>Low Sales</v>
      </c>
    </row>
    <row r="1103" spans="1:13" x14ac:dyDescent="0.3">
      <c r="A1103" t="s">
        <v>1046</v>
      </c>
      <c r="B1103" t="s">
        <v>1658</v>
      </c>
      <c r="C1103" s="1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  <c r="K1103" t="str">
        <f>TEXT(Table1[[#This Row],[PurchaseDate]],"mmm")</f>
        <v>Mar</v>
      </c>
      <c r="L1103">
        <f>YEAR(Table1[[#This Row],[PurchaseDate]])</f>
        <v>2024</v>
      </c>
      <c r="M1103" t="str">
        <f>IF(Table1[[#This Row],[TotalPrice]]&gt;2000,"High Sales","Low Sales")</f>
        <v>Low Sales</v>
      </c>
    </row>
    <row r="1104" spans="1:13" x14ac:dyDescent="0.3">
      <c r="A1104" t="s">
        <v>1047</v>
      </c>
      <c r="B1104" t="s">
        <v>1658</v>
      </c>
      <c r="C1104" s="1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  <c r="K1104" t="str">
        <f>TEXT(Table1[[#This Row],[PurchaseDate]],"mmm")</f>
        <v>Jul</v>
      </c>
      <c r="L1104">
        <f>YEAR(Table1[[#This Row],[PurchaseDate]])</f>
        <v>2023</v>
      </c>
      <c r="M1104" t="str">
        <f>IF(Table1[[#This Row],[TotalPrice]]&gt;2000,"High Sales","Low Sales")</f>
        <v>Low Sales</v>
      </c>
    </row>
    <row r="1105" spans="1:13" x14ac:dyDescent="0.3">
      <c r="A1105" t="s">
        <v>711</v>
      </c>
      <c r="B1105" t="s">
        <v>1655</v>
      </c>
      <c r="C1105" s="1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  <c r="K1105" t="str">
        <f>TEXT(Table1[[#This Row],[PurchaseDate]],"mmm")</f>
        <v>Nov</v>
      </c>
      <c r="L1105">
        <f>YEAR(Table1[[#This Row],[PurchaseDate]])</f>
        <v>2024</v>
      </c>
      <c r="M1105" t="str">
        <f>IF(Table1[[#This Row],[TotalPrice]]&gt;2000,"High Sales","Low Sales")</f>
        <v>Low Sales</v>
      </c>
    </row>
    <row r="1106" spans="1:13" x14ac:dyDescent="0.3">
      <c r="A1106" t="s">
        <v>1048</v>
      </c>
      <c r="B1106" t="s">
        <v>1656</v>
      </c>
      <c r="C1106" s="1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  <c r="K1106" t="str">
        <f>TEXT(Table1[[#This Row],[PurchaseDate]],"mmm")</f>
        <v>Aug</v>
      </c>
      <c r="L1106">
        <f>YEAR(Table1[[#This Row],[PurchaseDate]])</f>
        <v>2023</v>
      </c>
      <c r="M1106" t="str">
        <f>IF(Table1[[#This Row],[TotalPrice]]&gt;2000,"High Sales","Low Sales")</f>
        <v>High Sales</v>
      </c>
    </row>
    <row r="1107" spans="1:13" x14ac:dyDescent="0.3">
      <c r="A1107" t="s">
        <v>1049</v>
      </c>
      <c r="B1107" t="s">
        <v>1653</v>
      </c>
      <c r="C1107" s="1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  <c r="K1107" t="str">
        <f>TEXT(Table1[[#This Row],[PurchaseDate]],"mmm")</f>
        <v>May</v>
      </c>
      <c r="L1107">
        <f>YEAR(Table1[[#This Row],[PurchaseDate]])</f>
        <v>2024</v>
      </c>
      <c r="M1107" t="str">
        <f>IF(Table1[[#This Row],[TotalPrice]]&gt;2000,"High Sales","Low Sales")</f>
        <v>High Sales</v>
      </c>
    </row>
    <row r="1108" spans="1:13" x14ac:dyDescent="0.3">
      <c r="A1108" t="s">
        <v>1050</v>
      </c>
      <c r="B1108" t="s">
        <v>1652</v>
      </c>
      <c r="C1108" s="1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  <c r="K1108" t="str">
        <f>TEXT(Table1[[#This Row],[PurchaseDate]],"mmm")</f>
        <v>Jan</v>
      </c>
      <c r="L1108">
        <f>YEAR(Table1[[#This Row],[PurchaseDate]])</f>
        <v>2024</v>
      </c>
      <c r="M1108" t="str">
        <f>IF(Table1[[#This Row],[TotalPrice]]&gt;2000,"High Sales","Low Sales")</f>
        <v>High Sales</v>
      </c>
    </row>
    <row r="1109" spans="1:13" x14ac:dyDescent="0.3">
      <c r="A1109" t="s">
        <v>1051</v>
      </c>
      <c r="B1109" t="s">
        <v>1652</v>
      </c>
      <c r="C1109" s="1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  <c r="K1109" t="str">
        <f>TEXT(Table1[[#This Row],[PurchaseDate]],"mmm")</f>
        <v>Nov</v>
      </c>
      <c r="L1109">
        <f>YEAR(Table1[[#This Row],[PurchaseDate]])</f>
        <v>2024</v>
      </c>
      <c r="M1109" t="str">
        <f>IF(Table1[[#This Row],[TotalPrice]]&gt;2000,"High Sales","Low Sales")</f>
        <v>High Sales</v>
      </c>
    </row>
    <row r="1110" spans="1:13" x14ac:dyDescent="0.3">
      <c r="A1110" t="s">
        <v>1052</v>
      </c>
      <c r="B1110" t="s">
        <v>1654</v>
      </c>
      <c r="C1110" s="1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  <c r="K1110" t="str">
        <f>TEXT(Table1[[#This Row],[PurchaseDate]],"mmm")</f>
        <v>Jan</v>
      </c>
      <c r="L1110">
        <f>YEAR(Table1[[#This Row],[PurchaseDate]])</f>
        <v>2023</v>
      </c>
      <c r="M1110" t="str">
        <f>IF(Table1[[#This Row],[TotalPrice]]&gt;2000,"High Sales","Low Sales")</f>
        <v>Low Sales</v>
      </c>
    </row>
    <row r="1111" spans="1:13" x14ac:dyDescent="0.3">
      <c r="A1111" t="s">
        <v>716</v>
      </c>
      <c r="B1111" t="s">
        <v>1655</v>
      </c>
      <c r="C1111" s="1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  <c r="K1111" t="str">
        <f>TEXT(Table1[[#This Row],[PurchaseDate]],"mmm")</f>
        <v>Dec</v>
      </c>
      <c r="L1111">
        <f>YEAR(Table1[[#This Row],[PurchaseDate]])</f>
        <v>2023</v>
      </c>
      <c r="M1111" t="str">
        <f>IF(Table1[[#This Row],[TotalPrice]]&gt;2000,"High Sales","Low Sales")</f>
        <v>High Sales</v>
      </c>
    </row>
    <row r="1112" spans="1:13" x14ac:dyDescent="0.3">
      <c r="A1112" t="s">
        <v>1053</v>
      </c>
      <c r="B1112" t="s">
        <v>1652</v>
      </c>
      <c r="C1112" s="1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  <c r="K1112" t="str">
        <f>TEXT(Table1[[#This Row],[PurchaseDate]],"mmm")</f>
        <v>Dec</v>
      </c>
      <c r="L1112">
        <f>YEAR(Table1[[#This Row],[PurchaseDate]])</f>
        <v>2023</v>
      </c>
      <c r="M1112" t="str">
        <f>IF(Table1[[#This Row],[TotalPrice]]&gt;2000,"High Sales","Low Sales")</f>
        <v>Low Sales</v>
      </c>
    </row>
    <row r="1113" spans="1:13" x14ac:dyDescent="0.3">
      <c r="A1113" t="s">
        <v>1054</v>
      </c>
      <c r="B1113" t="s">
        <v>1657</v>
      </c>
      <c r="C1113" s="1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  <c r="K1113" t="str">
        <f>TEXT(Table1[[#This Row],[PurchaseDate]],"mmm")</f>
        <v>Mar</v>
      </c>
      <c r="L1113">
        <f>YEAR(Table1[[#This Row],[PurchaseDate]])</f>
        <v>2024</v>
      </c>
      <c r="M1113" t="str">
        <f>IF(Table1[[#This Row],[TotalPrice]]&gt;2000,"High Sales","Low Sales")</f>
        <v>Low Sales</v>
      </c>
    </row>
    <row r="1114" spans="1:13" x14ac:dyDescent="0.3">
      <c r="A1114" t="s">
        <v>1055</v>
      </c>
      <c r="B1114" t="s">
        <v>1656</v>
      </c>
      <c r="C1114" s="1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  <c r="K1114" t="str">
        <f>TEXT(Table1[[#This Row],[PurchaseDate]],"mmm")</f>
        <v>Nov</v>
      </c>
      <c r="L1114">
        <f>YEAR(Table1[[#This Row],[PurchaseDate]])</f>
        <v>2024</v>
      </c>
      <c r="M1114" t="str">
        <f>IF(Table1[[#This Row],[TotalPrice]]&gt;2000,"High Sales","Low Sales")</f>
        <v>Low Sales</v>
      </c>
    </row>
    <row r="1115" spans="1:13" x14ac:dyDescent="0.3">
      <c r="A1115" t="s">
        <v>1056</v>
      </c>
      <c r="B1115" t="s">
        <v>1653</v>
      </c>
      <c r="C1115" s="1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  <c r="K1115" t="str">
        <f>TEXT(Table1[[#This Row],[PurchaseDate]],"mmm")</f>
        <v>May</v>
      </c>
      <c r="L1115">
        <f>YEAR(Table1[[#This Row],[PurchaseDate]])</f>
        <v>2023</v>
      </c>
      <c r="M1115" t="str">
        <f>IF(Table1[[#This Row],[TotalPrice]]&gt;2000,"High Sales","Low Sales")</f>
        <v>Low Sales</v>
      </c>
    </row>
    <row r="1116" spans="1:13" x14ac:dyDescent="0.3">
      <c r="A1116" t="s">
        <v>562</v>
      </c>
      <c r="B1116" t="s">
        <v>1657</v>
      </c>
      <c r="C1116" s="1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  <c r="K1116" t="str">
        <f>TEXT(Table1[[#This Row],[PurchaseDate]],"mmm")</f>
        <v>Jan</v>
      </c>
      <c r="L1116">
        <f>YEAR(Table1[[#This Row],[PurchaseDate]])</f>
        <v>2024</v>
      </c>
      <c r="M1116" t="str">
        <f>IF(Table1[[#This Row],[TotalPrice]]&gt;2000,"High Sales","Low Sales")</f>
        <v>Low Sales</v>
      </c>
    </row>
    <row r="1117" spans="1:13" x14ac:dyDescent="0.3">
      <c r="A1117" t="s">
        <v>1057</v>
      </c>
      <c r="B1117" t="s">
        <v>1654</v>
      </c>
      <c r="C1117" s="1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  <c r="K1117" t="str">
        <f>TEXT(Table1[[#This Row],[PurchaseDate]],"mmm")</f>
        <v>Aug</v>
      </c>
      <c r="L1117">
        <f>YEAR(Table1[[#This Row],[PurchaseDate]])</f>
        <v>2024</v>
      </c>
      <c r="M1117" t="str">
        <f>IF(Table1[[#This Row],[TotalPrice]]&gt;2000,"High Sales","Low Sales")</f>
        <v>Low Sales</v>
      </c>
    </row>
    <row r="1118" spans="1:13" x14ac:dyDescent="0.3">
      <c r="A1118" t="s">
        <v>1058</v>
      </c>
      <c r="B1118" t="s">
        <v>1657</v>
      </c>
      <c r="C1118" s="1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  <c r="K1118" t="str">
        <f>TEXT(Table1[[#This Row],[PurchaseDate]],"mmm")</f>
        <v>Aug</v>
      </c>
      <c r="L1118">
        <f>YEAR(Table1[[#This Row],[PurchaseDate]])</f>
        <v>2024</v>
      </c>
      <c r="M1118" t="str">
        <f>IF(Table1[[#This Row],[TotalPrice]]&gt;2000,"High Sales","Low Sales")</f>
        <v>Low Sales</v>
      </c>
    </row>
    <row r="1119" spans="1:13" x14ac:dyDescent="0.3">
      <c r="A1119" t="s">
        <v>1059</v>
      </c>
      <c r="B1119" t="s">
        <v>1653</v>
      </c>
      <c r="C1119" s="1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  <c r="K1119" t="str">
        <f>TEXT(Table1[[#This Row],[PurchaseDate]],"mmm")</f>
        <v>Dec</v>
      </c>
      <c r="L1119">
        <f>YEAR(Table1[[#This Row],[PurchaseDate]])</f>
        <v>2024</v>
      </c>
      <c r="M1119" t="str">
        <f>IF(Table1[[#This Row],[TotalPrice]]&gt;2000,"High Sales","Low Sales")</f>
        <v>High Sales</v>
      </c>
    </row>
    <row r="1120" spans="1:13" x14ac:dyDescent="0.3">
      <c r="A1120" t="s">
        <v>1060</v>
      </c>
      <c r="B1120" t="s">
        <v>1653</v>
      </c>
      <c r="C1120" s="1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  <c r="K1120" t="str">
        <f>TEXT(Table1[[#This Row],[PurchaseDate]],"mmm")</f>
        <v>Mar</v>
      </c>
      <c r="L1120">
        <f>YEAR(Table1[[#This Row],[PurchaseDate]])</f>
        <v>2025</v>
      </c>
      <c r="M1120" t="str">
        <f>IF(Table1[[#This Row],[TotalPrice]]&gt;2000,"High Sales","Low Sales")</f>
        <v>Low Sales</v>
      </c>
    </row>
    <row r="1121" spans="1:13" x14ac:dyDescent="0.3">
      <c r="A1121" t="s">
        <v>1061</v>
      </c>
      <c r="B1121" t="s">
        <v>1654</v>
      </c>
      <c r="C1121" s="1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  <c r="K1121" t="str">
        <f>TEXT(Table1[[#This Row],[PurchaseDate]],"mmm")</f>
        <v>Feb</v>
      </c>
      <c r="L1121">
        <f>YEAR(Table1[[#This Row],[PurchaseDate]])</f>
        <v>2023</v>
      </c>
      <c r="M1121" t="str">
        <f>IF(Table1[[#This Row],[TotalPrice]]&gt;2000,"High Sales","Low Sales")</f>
        <v>High Sales</v>
      </c>
    </row>
    <row r="1122" spans="1:13" x14ac:dyDescent="0.3">
      <c r="A1122" t="s">
        <v>1062</v>
      </c>
      <c r="B1122" t="s">
        <v>1653</v>
      </c>
      <c r="C1122" s="1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  <c r="K1122" t="str">
        <f>TEXT(Table1[[#This Row],[PurchaseDate]],"mmm")</f>
        <v>Nov</v>
      </c>
      <c r="L1122">
        <f>YEAR(Table1[[#This Row],[PurchaseDate]])</f>
        <v>2023</v>
      </c>
      <c r="M1122" t="str">
        <f>IF(Table1[[#This Row],[TotalPrice]]&gt;2000,"High Sales","Low Sales")</f>
        <v>High Sales</v>
      </c>
    </row>
    <row r="1123" spans="1:13" x14ac:dyDescent="0.3">
      <c r="A1123" t="s">
        <v>1063</v>
      </c>
      <c r="B1123" t="s">
        <v>1654</v>
      </c>
      <c r="C1123" s="1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  <c r="K1123" t="str">
        <f>TEXT(Table1[[#This Row],[PurchaseDate]],"mmm")</f>
        <v>Aug</v>
      </c>
      <c r="L1123">
        <f>YEAR(Table1[[#This Row],[PurchaseDate]])</f>
        <v>2024</v>
      </c>
      <c r="M1123" t="str">
        <f>IF(Table1[[#This Row],[TotalPrice]]&gt;2000,"High Sales","Low Sales")</f>
        <v>Low Sales</v>
      </c>
    </row>
    <row r="1124" spans="1:13" x14ac:dyDescent="0.3">
      <c r="A1124" t="s">
        <v>1064</v>
      </c>
      <c r="B1124" t="s">
        <v>1653</v>
      </c>
      <c r="C1124" s="1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  <c r="K1124" t="str">
        <f>TEXT(Table1[[#This Row],[PurchaseDate]],"mmm")</f>
        <v>May</v>
      </c>
      <c r="L1124">
        <f>YEAR(Table1[[#This Row],[PurchaseDate]])</f>
        <v>2023</v>
      </c>
      <c r="M1124" t="str">
        <f>IF(Table1[[#This Row],[TotalPrice]]&gt;2000,"High Sales","Low Sales")</f>
        <v>Low Sales</v>
      </c>
    </row>
    <row r="1125" spans="1:13" x14ac:dyDescent="0.3">
      <c r="A1125" t="s">
        <v>1065</v>
      </c>
      <c r="B1125" t="s">
        <v>1656</v>
      </c>
      <c r="C1125" s="1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  <c r="K1125" t="str">
        <f>TEXT(Table1[[#This Row],[PurchaseDate]],"mmm")</f>
        <v>Feb</v>
      </c>
      <c r="L1125">
        <f>YEAR(Table1[[#This Row],[PurchaseDate]])</f>
        <v>2025</v>
      </c>
      <c r="M1125" t="str">
        <f>IF(Table1[[#This Row],[TotalPrice]]&gt;2000,"High Sales","Low Sales")</f>
        <v>High Sales</v>
      </c>
    </row>
    <row r="1126" spans="1:13" x14ac:dyDescent="0.3">
      <c r="A1126" t="s">
        <v>833</v>
      </c>
      <c r="B1126" t="s">
        <v>1652</v>
      </c>
      <c r="C1126" s="1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  <c r="K1126" t="str">
        <f>TEXT(Table1[[#This Row],[PurchaseDate]],"mmm")</f>
        <v>May</v>
      </c>
      <c r="L1126">
        <f>YEAR(Table1[[#This Row],[PurchaseDate]])</f>
        <v>2024</v>
      </c>
      <c r="M1126" t="str">
        <f>IF(Table1[[#This Row],[TotalPrice]]&gt;2000,"High Sales","Low Sales")</f>
        <v>High Sales</v>
      </c>
    </row>
    <row r="1127" spans="1:13" x14ac:dyDescent="0.3">
      <c r="A1127" t="s">
        <v>1066</v>
      </c>
      <c r="B1127" t="s">
        <v>1654</v>
      </c>
      <c r="C1127" s="1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  <c r="K1127" t="str">
        <f>TEXT(Table1[[#This Row],[PurchaseDate]],"mmm")</f>
        <v>Jan</v>
      </c>
      <c r="L1127">
        <f>YEAR(Table1[[#This Row],[PurchaseDate]])</f>
        <v>2025</v>
      </c>
      <c r="M1127" t="str">
        <f>IF(Table1[[#This Row],[TotalPrice]]&gt;2000,"High Sales","Low Sales")</f>
        <v>Low Sales</v>
      </c>
    </row>
    <row r="1128" spans="1:13" x14ac:dyDescent="0.3">
      <c r="A1128" t="s">
        <v>1067</v>
      </c>
      <c r="B1128" t="s">
        <v>1657</v>
      </c>
      <c r="C1128" s="1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  <c r="K1128" t="str">
        <f>TEXT(Table1[[#This Row],[PurchaseDate]],"mmm")</f>
        <v>Jul</v>
      </c>
      <c r="L1128">
        <f>YEAR(Table1[[#This Row],[PurchaseDate]])</f>
        <v>2023</v>
      </c>
      <c r="M1128" t="str">
        <f>IF(Table1[[#This Row],[TotalPrice]]&gt;2000,"High Sales","Low Sales")</f>
        <v>Low Sales</v>
      </c>
    </row>
    <row r="1129" spans="1:13" x14ac:dyDescent="0.3">
      <c r="A1129" t="s">
        <v>1068</v>
      </c>
      <c r="B1129" t="s">
        <v>1658</v>
      </c>
      <c r="C1129" s="1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  <c r="K1129" t="str">
        <f>TEXT(Table1[[#This Row],[PurchaseDate]],"mmm")</f>
        <v>Feb</v>
      </c>
      <c r="L1129">
        <f>YEAR(Table1[[#This Row],[PurchaseDate]])</f>
        <v>2024</v>
      </c>
      <c r="M1129" t="str">
        <f>IF(Table1[[#This Row],[TotalPrice]]&gt;2000,"High Sales","Low Sales")</f>
        <v>Low Sales</v>
      </c>
    </row>
    <row r="1130" spans="1:13" x14ac:dyDescent="0.3">
      <c r="A1130" t="s">
        <v>1069</v>
      </c>
      <c r="B1130" t="s">
        <v>1654</v>
      </c>
      <c r="C1130" s="1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  <c r="K1130" t="str">
        <f>TEXT(Table1[[#This Row],[PurchaseDate]],"mmm")</f>
        <v>Jun</v>
      </c>
      <c r="L1130">
        <f>YEAR(Table1[[#This Row],[PurchaseDate]])</f>
        <v>2024</v>
      </c>
      <c r="M1130" t="str">
        <f>IF(Table1[[#This Row],[TotalPrice]]&gt;2000,"High Sales","Low Sales")</f>
        <v>Low Sales</v>
      </c>
    </row>
    <row r="1131" spans="1:13" x14ac:dyDescent="0.3">
      <c r="A1131" t="s">
        <v>1070</v>
      </c>
      <c r="B1131" t="s">
        <v>1654</v>
      </c>
      <c r="C1131" s="1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  <c r="K1131" t="str">
        <f>TEXT(Table1[[#This Row],[PurchaseDate]],"mmm")</f>
        <v>Jul</v>
      </c>
      <c r="L1131">
        <f>YEAR(Table1[[#This Row],[PurchaseDate]])</f>
        <v>2023</v>
      </c>
      <c r="M1131" t="str">
        <f>IF(Table1[[#This Row],[TotalPrice]]&gt;2000,"High Sales","Low Sales")</f>
        <v>High Sales</v>
      </c>
    </row>
    <row r="1132" spans="1:13" x14ac:dyDescent="0.3">
      <c r="A1132" t="s">
        <v>1071</v>
      </c>
      <c r="B1132" t="s">
        <v>1658</v>
      </c>
      <c r="C1132" s="1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  <c r="K1132" t="str">
        <f>TEXT(Table1[[#This Row],[PurchaseDate]],"mmm")</f>
        <v>Sep</v>
      </c>
      <c r="L1132">
        <f>YEAR(Table1[[#This Row],[PurchaseDate]])</f>
        <v>2023</v>
      </c>
      <c r="M1132" t="str">
        <f>IF(Table1[[#This Row],[TotalPrice]]&gt;2000,"High Sales","Low Sales")</f>
        <v>Low Sales</v>
      </c>
    </row>
    <row r="1133" spans="1:13" x14ac:dyDescent="0.3">
      <c r="A1133" t="s">
        <v>1072</v>
      </c>
      <c r="B1133" t="s">
        <v>1658</v>
      </c>
      <c r="C1133" s="1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  <c r="K1133" t="str">
        <f>TEXT(Table1[[#This Row],[PurchaseDate]],"mmm")</f>
        <v>May</v>
      </c>
      <c r="L1133">
        <f>YEAR(Table1[[#This Row],[PurchaseDate]])</f>
        <v>2025</v>
      </c>
      <c r="M1133" t="str">
        <f>IF(Table1[[#This Row],[TotalPrice]]&gt;2000,"High Sales","Low Sales")</f>
        <v>High Sales</v>
      </c>
    </row>
    <row r="1134" spans="1:13" x14ac:dyDescent="0.3">
      <c r="A1134" t="s">
        <v>1073</v>
      </c>
      <c r="B1134" t="s">
        <v>1652</v>
      </c>
      <c r="C1134" s="1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  <c r="K1134" t="str">
        <f>TEXT(Table1[[#This Row],[PurchaseDate]],"mmm")</f>
        <v>Apr</v>
      </c>
      <c r="L1134">
        <f>YEAR(Table1[[#This Row],[PurchaseDate]])</f>
        <v>2023</v>
      </c>
      <c r="M1134" t="str">
        <f>IF(Table1[[#This Row],[TotalPrice]]&gt;2000,"High Sales","Low Sales")</f>
        <v>Low Sales</v>
      </c>
    </row>
    <row r="1135" spans="1:13" x14ac:dyDescent="0.3">
      <c r="A1135" t="s">
        <v>1074</v>
      </c>
      <c r="B1135" t="s">
        <v>1653</v>
      </c>
      <c r="C1135" s="1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  <c r="K1135" t="str">
        <f>TEXT(Table1[[#This Row],[PurchaseDate]],"mmm")</f>
        <v>Nov</v>
      </c>
      <c r="L1135">
        <f>YEAR(Table1[[#This Row],[PurchaseDate]])</f>
        <v>2024</v>
      </c>
      <c r="M1135" t="str">
        <f>IF(Table1[[#This Row],[TotalPrice]]&gt;2000,"High Sales","Low Sales")</f>
        <v>High Sales</v>
      </c>
    </row>
    <row r="1136" spans="1:13" x14ac:dyDescent="0.3">
      <c r="A1136" t="s">
        <v>1075</v>
      </c>
      <c r="B1136" t="s">
        <v>1658</v>
      </c>
      <c r="C1136" s="1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  <c r="K1136" t="str">
        <f>TEXT(Table1[[#This Row],[PurchaseDate]],"mmm")</f>
        <v>Sep</v>
      </c>
      <c r="L1136">
        <f>YEAR(Table1[[#This Row],[PurchaseDate]])</f>
        <v>2024</v>
      </c>
      <c r="M1136" t="str">
        <f>IF(Table1[[#This Row],[TotalPrice]]&gt;2000,"High Sales","Low Sales")</f>
        <v>Low Sales</v>
      </c>
    </row>
    <row r="1137" spans="1:13" x14ac:dyDescent="0.3">
      <c r="A1137" t="s">
        <v>1076</v>
      </c>
      <c r="B1137" t="s">
        <v>1658</v>
      </c>
      <c r="C1137" s="1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  <c r="K1137" t="str">
        <f>TEXT(Table1[[#This Row],[PurchaseDate]],"mmm")</f>
        <v>Jun</v>
      </c>
      <c r="L1137">
        <f>YEAR(Table1[[#This Row],[PurchaseDate]])</f>
        <v>2025</v>
      </c>
      <c r="M1137" t="str">
        <f>IF(Table1[[#This Row],[TotalPrice]]&gt;2000,"High Sales","Low Sales")</f>
        <v>High Sales</v>
      </c>
    </row>
    <row r="1138" spans="1:13" x14ac:dyDescent="0.3">
      <c r="A1138" t="s">
        <v>1077</v>
      </c>
      <c r="B1138" t="s">
        <v>1654</v>
      </c>
      <c r="C1138" s="1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  <c r="K1138" t="str">
        <f>TEXT(Table1[[#This Row],[PurchaseDate]],"mmm")</f>
        <v>Jan</v>
      </c>
      <c r="L1138">
        <f>YEAR(Table1[[#This Row],[PurchaseDate]])</f>
        <v>2024</v>
      </c>
      <c r="M1138" t="str">
        <f>IF(Table1[[#This Row],[TotalPrice]]&gt;2000,"High Sales","Low Sales")</f>
        <v>High Sales</v>
      </c>
    </row>
    <row r="1139" spans="1:13" x14ac:dyDescent="0.3">
      <c r="A1139" t="s">
        <v>1078</v>
      </c>
      <c r="B1139" t="s">
        <v>1655</v>
      </c>
      <c r="C1139" s="1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  <c r="K1139" t="str">
        <f>TEXT(Table1[[#This Row],[PurchaseDate]],"mmm")</f>
        <v>Apr</v>
      </c>
      <c r="L1139">
        <f>YEAR(Table1[[#This Row],[PurchaseDate]])</f>
        <v>2024</v>
      </c>
      <c r="M1139" t="str">
        <f>IF(Table1[[#This Row],[TotalPrice]]&gt;2000,"High Sales","Low Sales")</f>
        <v>High Sales</v>
      </c>
    </row>
    <row r="1140" spans="1:13" x14ac:dyDescent="0.3">
      <c r="A1140" t="s">
        <v>1079</v>
      </c>
      <c r="B1140" t="s">
        <v>1652</v>
      </c>
      <c r="C1140" s="1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  <c r="K1140" t="str">
        <f>TEXT(Table1[[#This Row],[PurchaseDate]],"mmm")</f>
        <v>Dec</v>
      </c>
      <c r="L1140">
        <f>YEAR(Table1[[#This Row],[PurchaseDate]])</f>
        <v>2023</v>
      </c>
      <c r="M1140" t="str">
        <f>IF(Table1[[#This Row],[TotalPrice]]&gt;2000,"High Sales","Low Sales")</f>
        <v>Low Sales</v>
      </c>
    </row>
    <row r="1141" spans="1:13" x14ac:dyDescent="0.3">
      <c r="A1141" t="s">
        <v>1080</v>
      </c>
      <c r="B1141" t="s">
        <v>1657</v>
      </c>
      <c r="C1141" s="1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  <c r="K1141" t="str">
        <f>TEXT(Table1[[#This Row],[PurchaseDate]],"mmm")</f>
        <v>Apr</v>
      </c>
      <c r="L1141">
        <f>YEAR(Table1[[#This Row],[PurchaseDate]])</f>
        <v>2024</v>
      </c>
      <c r="M1141" t="str">
        <f>IF(Table1[[#This Row],[TotalPrice]]&gt;2000,"High Sales","Low Sales")</f>
        <v>Low Sales</v>
      </c>
    </row>
    <row r="1142" spans="1:13" x14ac:dyDescent="0.3">
      <c r="A1142" t="s">
        <v>1081</v>
      </c>
      <c r="B1142" t="s">
        <v>1653</v>
      </c>
      <c r="C1142" s="1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  <c r="K1142" t="str">
        <f>TEXT(Table1[[#This Row],[PurchaseDate]],"mmm")</f>
        <v>Jun</v>
      </c>
      <c r="L1142">
        <f>YEAR(Table1[[#This Row],[PurchaseDate]])</f>
        <v>2025</v>
      </c>
      <c r="M1142" t="str">
        <f>IF(Table1[[#This Row],[TotalPrice]]&gt;2000,"High Sales","Low Sales")</f>
        <v>High Sales</v>
      </c>
    </row>
    <row r="1143" spans="1:13" x14ac:dyDescent="0.3">
      <c r="A1143" t="s">
        <v>1082</v>
      </c>
      <c r="B1143" t="s">
        <v>1652</v>
      </c>
      <c r="C1143" s="1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  <c r="K1143" t="str">
        <f>TEXT(Table1[[#This Row],[PurchaseDate]],"mmm")</f>
        <v>Oct</v>
      </c>
      <c r="L1143">
        <f>YEAR(Table1[[#This Row],[PurchaseDate]])</f>
        <v>2023</v>
      </c>
      <c r="M1143" t="str">
        <f>IF(Table1[[#This Row],[TotalPrice]]&gt;2000,"High Sales","Low Sales")</f>
        <v>Low Sales</v>
      </c>
    </row>
    <row r="1144" spans="1:13" x14ac:dyDescent="0.3">
      <c r="A1144" t="s">
        <v>1083</v>
      </c>
      <c r="B1144" t="s">
        <v>1652</v>
      </c>
      <c r="C1144" s="1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  <c r="K1144" t="str">
        <f>TEXT(Table1[[#This Row],[PurchaseDate]],"mmm")</f>
        <v>May</v>
      </c>
      <c r="L1144">
        <f>YEAR(Table1[[#This Row],[PurchaseDate]])</f>
        <v>2023</v>
      </c>
      <c r="M1144" t="str">
        <f>IF(Table1[[#This Row],[TotalPrice]]&gt;2000,"High Sales","Low Sales")</f>
        <v>High Sales</v>
      </c>
    </row>
    <row r="1145" spans="1:13" x14ac:dyDescent="0.3">
      <c r="A1145" t="s">
        <v>1084</v>
      </c>
      <c r="B1145" t="s">
        <v>1655</v>
      </c>
      <c r="C1145" s="1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  <c r="K1145" t="str">
        <f>TEXT(Table1[[#This Row],[PurchaseDate]],"mmm")</f>
        <v>Jun</v>
      </c>
      <c r="L1145">
        <f>YEAR(Table1[[#This Row],[PurchaseDate]])</f>
        <v>2025</v>
      </c>
      <c r="M1145" t="str">
        <f>IF(Table1[[#This Row],[TotalPrice]]&gt;2000,"High Sales","Low Sales")</f>
        <v>High Sales</v>
      </c>
    </row>
    <row r="1146" spans="1:13" x14ac:dyDescent="0.3">
      <c r="A1146" t="s">
        <v>1085</v>
      </c>
      <c r="B1146" t="s">
        <v>1653</v>
      </c>
      <c r="C1146" s="1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  <c r="K1146" t="str">
        <f>TEXT(Table1[[#This Row],[PurchaseDate]],"mmm")</f>
        <v>Jun</v>
      </c>
      <c r="L1146">
        <f>YEAR(Table1[[#This Row],[PurchaseDate]])</f>
        <v>2023</v>
      </c>
      <c r="M1146" t="str">
        <f>IF(Table1[[#This Row],[TotalPrice]]&gt;2000,"High Sales","Low Sales")</f>
        <v>Low Sales</v>
      </c>
    </row>
    <row r="1147" spans="1:13" x14ac:dyDescent="0.3">
      <c r="A1147" t="s">
        <v>1086</v>
      </c>
      <c r="B1147" t="s">
        <v>1656</v>
      </c>
      <c r="C1147" s="1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  <c r="K1147" t="str">
        <f>TEXT(Table1[[#This Row],[PurchaseDate]],"mmm")</f>
        <v>Feb</v>
      </c>
      <c r="L1147">
        <f>YEAR(Table1[[#This Row],[PurchaseDate]])</f>
        <v>2023</v>
      </c>
      <c r="M1147" t="str">
        <f>IF(Table1[[#This Row],[TotalPrice]]&gt;2000,"High Sales","Low Sales")</f>
        <v>Low Sales</v>
      </c>
    </row>
    <row r="1148" spans="1:13" x14ac:dyDescent="0.3">
      <c r="A1148" t="s">
        <v>1087</v>
      </c>
      <c r="B1148" t="s">
        <v>1652</v>
      </c>
      <c r="C1148" s="1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  <c r="K1148" t="str">
        <f>TEXT(Table1[[#This Row],[PurchaseDate]],"mmm")</f>
        <v>May</v>
      </c>
      <c r="L1148">
        <f>YEAR(Table1[[#This Row],[PurchaseDate]])</f>
        <v>2025</v>
      </c>
      <c r="M1148" t="str">
        <f>IF(Table1[[#This Row],[TotalPrice]]&gt;2000,"High Sales","Low Sales")</f>
        <v>High Sales</v>
      </c>
    </row>
    <row r="1149" spans="1:13" x14ac:dyDescent="0.3">
      <c r="A1149" t="s">
        <v>1088</v>
      </c>
      <c r="B1149" t="s">
        <v>1653</v>
      </c>
      <c r="C1149" s="1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  <c r="K1149" t="str">
        <f>TEXT(Table1[[#This Row],[PurchaseDate]],"mmm")</f>
        <v>Feb</v>
      </c>
      <c r="L1149">
        <f>YEAR(Table1[[#This Row],[PurchaseDate]])</f>
        <v>2023</v>
      </c>
      <c r="M1149" t="str">
        <f>IF(Table1[[#This Row],[TotalPrice]]&gt;2000,"High Sales","Low Sales")</f>
        <v>High Sales</v>
      </c>
    </row>
    <row r="1150" spans="1:13" x14ac:dyDescent="0.3">
      <c r="A1150" t="s">
        <v>1089</v>
      </c>
      <c r="B1150" t="s">
        <v>1656</v>
      </c>
      <c r="C1150" s="1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  <c r="K1150" t="str">
        <f>TEXT(Table1[[#This Row],[PurchaseDate]],"mmm")</f>
        <v>Jan</v>
      </c>
      <c r="L1150">
        <f>YEAR(Table1[[#This Row],[PurchaseDate]])</f>
        <v>2025</v>
      </c>
      <c r="M1150" t="str">
        <f>IF(Table1[[#This Row],[TotalPrice]]&gt;2000,"High Sales","Low Sales")</f>
        <v>Low Sales</v>
      </c>
    </row>
    <row r="1151" spans="1:13" x14ac:dyDescent="0.3">
      <c r="A1151" t="s">
        <v>1090</v>
      </c>
      <c r="B1151" t="s">
        <v>1654</v>
      </c>
      <c r="C1151" s="1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  <c r="K1151" t="str">
        <f>TEXT(Table1[[#This Row],[PurchaseDate]],"mmm")</f>
        <v>Mar</v>
      </c>
      <c r="L1151">
        <f>YEAR(Table1[[#This Row],[PurchaseDate]])</f>
        <v>2025</v>
      </c>
      <c r="M1151" t="str">
        <f>IF(Table1[[#This Row],[TotalPrice]]&gt;2000,"High Sales","Low Sales")</f>
        <v>High Sales</v>
      </c>
    </row>
    <row r="1152" spans="1:13" x14ac:dyDescent="0.3">
      <c r="A1152" t="s">
        <v>646</v>
      </c>
      <c r="B1152" t="s">
        <v>1656</v>
      </c>
      <c r="C1152" s="1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  <c r="K1152" t="str">
        <f>TEXT(Table1[[#This Row],[PurchaseDate]],"mmm")</f>
        <v>Feb</v>
      </c>
      <c r="L1152">
        <f>YEAR(Table1[[#This Row],[PurchaseDate]])</f>
        <v>2024</v>
      </c>
      <c r="M1152" t="str">
        <f>IF(Table1[[#This Row],[TotalPrice]]&gt;2000,"High Sales","Low Sales")</f>
        <v>High Sales</v>
      </c>
    </row>
    <row r="1153" spans="1:13" x14ac:dyDescent="0.3">
      <c r="A1153" t="s">
        <v>1091</v>
      </c>
      <c r="B1153" t="s">
        <v>1657</v>
      </c>
      <c r="C1153" s="1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  <c r="K1153" t="str">
        <f>TEXT(Table1[[#This Row],[PurchaseDate]],"mmm")</f>
        <v>May</v>
      </c>
      <c r="L1153">
        <f>YEAR(Table1[[#This Row],[PurchaseDate]])</f>
        <v>2023</v>
      </c>
      <c r="M1153" t="str">
        <f>IF(Table1[[#This Row],[TotalPrice]]&gt;2000,"High Sales","Low Sales")</f>
        <v>High Sales</v>
      </c>
    </row>
    <row r="1154" spans="1:13" x14ac:dyDescent="0.3">
      <c r="A1154" t="s">
        <v>1092</v>
      </c>
      <c r="B1154" t="s">
        <v>1656</v>
      </c>
      <c r="C1154" s="1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  <c r="K1154" t="str">
        <f>TEXT(Table1[[#This Row],[PurchaseDate]],"mmm")</f>
        <v>May</v>
      </c>
      <c r="L1154">
        <f>YEAR(Table1[[#This Row],[PurchaseDate]])</f>
        <v>2024</v>
      </c>
      <c r="M1154" t="str">
        <f>IF(Table1[[#This Row],[TotalPrice]]&gt;2000,"High Sales","Low Sales")</f>
        <v>Low Sales</v>
      </c>
    </row>
    <row r="1155" spans="1:13" x14ac:dyDescent="0.3">
      <c r="A1155" t="s">
        <v>1093</v>
      </c>
      <c r="B1155" t="s">
        <v>1658</v>
      </c>
      <c r="C1155" s="1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  <c r="K1155" t="str">
        <f>TEXT(Table1[[#This Row],[PurchaseDate]],"mmm")</f>
        <v>Dec</v>
      </c>
      <c r="L1155">
        <f>YEAR(Table1[[#This Row],[PurchaseDate]])</f>
        <v>2024</v>
      </c>
      <c r="M1155" t="str">
        <f>IF(Table1[[#This Row],[TotalPrice]]&gt;2000,"High Sales","Low Sales")</f>
        <v>Low Sales</v>
      </c>
    </row>
    <row r="1156" spans="1:13" x14ac:dyDescent="0.3">
      <c r="A1156" t="s">
        <v>1094</v>
      </c>
      <c r="B1156" t="s">
        <v>1656</v>
      </c>
      <c r="C1156" s="1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  <c r="K1156" t="str">
        <f>TEXT(Table1[[#This Row],[PurchaseDate]],"mmm")</f>
        <v>Mar</v>
      </c>
      <c r="L1156">
        <f>YEAR(Table1[[#This Row],[PurchaseDate]])</f>
        <v>2023</v>
      </c>
      <c r="M1156" t="str">
        <f>IF(Table1[[#This Row],[TotalPrice]]&gt;2000,"High Sales","Low Sales")</f>
        <v>High Sales</v>
      </c>
    </row>
    <row r="1157" spans="1:13" x14ac:dyDescent="0.3">
      <c r="A1157" t="s">
        <v>1095</v>
      </c>
      <c r="B1157" t="s">
        <v>1655</v>
      </c>
      <c r="C1157" s="1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  <c r="K1157" t="str">
        <f>TEXT(Table1[[#This Row],[PurchaseDate]],"mmm")</f>
        <v>Feb</v>
      </c>
      <c r="L1157">
        <f>YEAR(Table1[[#This Row],[PurchaseDate]])</f>
        <v>2023</v>
      </c>
      <c r="M1157" t="str">
        <f>IF(Table1[[#This Row],[TotalPrice]]&gt;2000,"High Sales","Low Sales")</f>
        <v>High Sales</v>
      </c>
    </row>
    <row r="1158" spans="1:13" x14ac:dyDescent="0.3">
      <c r="A1158" t="s">
        <v>1096</v>
      </c>
      <c r="B1158" t="s">
        <v>1658</v>
      </c>
      <c r="C1158" s="1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  <c r="K1158" t="str">
        <f>TEXT(Table1[[#This Row],[PurchaseDate]],"mmm")</f>
        <v>May</v>
      </c>
      <c r="L1158">
        <f>YEAR(Table1[[#This Row],[PurchaseDate]])</f>
        <v>2024</v>
      </c>
      <c r="M1158" t="str">
        <f>IF(Table1[[#This Row],[TotalPrice]]&gt;2000,"High Sales","Low Sales")</f>
        <v>Low Sales</v>
      </c>
    </row>
    <row r="1159" spans="1:13" x14ac:dyDescent="0.3">
      <c r="A1159" t="s">
        <v>1097</v>
      </c>
      <c r="B1159" t="s">
        <v>1652</v>
      </c>
      <c r="C1159" s="1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  <c r="K1159" t="str">
        <f>TEXT(Table1[[#This Row],[PurchaseDate]],"mmm")</f>
        <v>May</v>
      </c>
      <c r="L1159">
        <f>YEAR(Table1[[#This Row],[PurchaseDate]])</f>
        <v>2024</v>
      </c>
      <c r="M1159" t="str">
        <f>IF(Table1[[#This Row],[TotalPrice]]&gt;2000,"High Sales","Low Sales")</f>
        <v>High Sales</v>
      </c>
    </row>
    <row r="1160" spans="1:13" x14ac:dyDescent="0.3">
      <c r="A1160" t="s">
        <v>912</v>
      </c>
      <c r="B1160" t="s">
        <v>1658</v>
      </c>
      <c r="C1160" s="1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  <c r="K1160" t="str">
        <f>TEXT(Table1[[#This Row],[PurchaseDate]],"mmm")</f>
        <v>Apr</v>
      </c>
      <c r="L1160">
        <f>YEAR(Table1[[#This Row],[PurchaseDate]])</f>
        <v>2024</v>
      </c>
      <c r="M1160" t="str">
        <f>IF(Table1[[#This Row],[TotalPrice]]&gt;2000,"High Sales","Low Sales")</f>
        <v>Low Sales</v>
      </c>
    </row>
    <row r="1161" spans="1:13" x14ac:dyDescent="0.3">
      <c r="A1161" t="s">
        <v>1098</v>
      </c>
      <c r="B1161" t="s">
        <v>1655</v>
      </c>
      <c r="C1161" s="1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  <c r="K1161" t="str">
        <f>TEXT(Table1[[#This Row],[PurchaseDate]],"mmm")</f>
        <v>Jan</v>
      </c>
      <c r="L1161">
        <f>YEAR(Table1[[#This Row],[PurchaseDate]])</f>
        <v>2023</v>
      </c>
      <c r="M1161" t="str">
        <f>IF(Table1[[#This Row],[TotalPrice]]&gt;2000,"High Sales","Low Sales")</f>
        <v>Low Sales</v>
      </c>
    </row>
    <row r="1162" spans="1:13" x14ac:dyDescent="0.3">
      <c r="A1162" t="s">
        <v>670</v>
      </c>
      <c r="B1162" t="s">
        <v>1653</v>
      </c>
      <c r="C1162" s="1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  <c r="K1162" t="str">
        <f>TEXT(Table1[[#This Row],[PurchaseDate]],"mmm")</f>
        <v>Dec</v>
      </c>
      <c r="L1162">
        <f>YEAR(Table1[[#This Row],[PurchaseDate]])</f>
        <v>2024</v>
      </c>
      <c r="M1162" t="str">
        <f>IF(Table1[[#This Row],[TotalPrice]]&gt;2000,"High Sales","Low Sales")</f>
        <v>Low Sales</v>
      </c>
    </row>
    <row r="1163" spans="1:13" x14ac:dyDescent="0.3">
      <c r="A1163" t="s">
        <v>1099</v>
      </c>
      <c r="B1163" t="s">
        <v>1652</v>
      </c>
      <c r="C1163" s="1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  <c r="K1163" t="str">
        <f>TEXT(Table1[[#This Row],[PurchaseDate]],"mmm")</f>
        <v>Oct</v>
      </c>
      <c r="L1163">
        <f>YEAR(Table1[[#This Row],[PurchaseDate]])</f>
        <v>2023</v>
      </c>
      <c r="M1163" t="str">
        <f>IF(Table1[[#This Row],[TotalPrice]]&gt;2000,"High Sales","Low Sales")</f>
        <v>Low Sales</v>
      </c>
    </row>
    <row r="1164" spans="1:13" x14ac:dyDescent="0.3">
      <c r="A1164" t="s">
        <v>1100</v>
      </c>
      <c r="B1164" t="s">
        <v>1658</v>
      </c>
      <c r="C1164" s="1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  <c r="K1164" t="str">
        <f>TEXT(Table1[[#This Row],[PurchaseDate]],"mmm")</f>
        <v>Dec</v>
      </c>
      <c r="L1164">
        <f>YEAR(Table1[[#This Row],[PurchaseDate]])</f>
        <v>2023</v>
      </c>
      <c r="M1164" t="str">
        <f>IF(Table1[[#This Row],[TotalPrice]]&gt;2000,"High Sales","Low Sales")</f>
        <v>High Sales</v>
      </c>
    </row>
    <row r="1165" spans="1:13" x14ac:dyDescent="0.3">
      <c r="A1165" t="s">
        <v>1101</v>
      </c>
      <c r="B1165" t="s">
        <v>1655</v>
      </c>
      <c r="C1165" s="1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  <c r="K1165" t="str">
        <f>TEXT(Table1[[#This Row],[PurchaseDate]],"mmm")</f>
        <v>Jun</v>
      </c>
      <c r="L1165">
        <f>YEAR(Table1[[#This Row],[PurchaseDate]])</f>
        <v>2024</v>
      </c>
      <c r="M1165" t="str">
        <f>IF(Table1[[#This Row],[TotalPrice]]&gt;2000,"High Sales","Low Sales")</f>
        <v>High Sales</v>
      </c>
    </row>
    <row r="1166" spans="1:13" x14ac:dyDescent="0.3">
      <c r="A1166" t="s">
        <v>1102</v>
      </c>
      <c r="B1166" t="s">
        <v>1652</v>
      </c>
      <c r="C1166" s="1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  <c r="K1166" t="str">
        <f>TEXT(Table1[[#This Row],[PurchaseDate]],"mmm")</f>
        <v>Apr</v>
      </c>
      <c r="L1166">
        <f>YEAR(Table1[[#This Row],[PurchaseDate]])</f>
        <v>2024</v>
      </c>
      <c r="M1166" t="str">
        <f>IF(Table1[[#This Row],[TotalPrice]]&gt;2000,"High Sales","Low Sales")</f>
        <v>High Sales</v>
      </c>
    </row>
    <row r="1167" spans="1:13" x14ac:dyDescent="0.3">
      <c r="A1167" t="s">
        <v>1103</v>
      </c>
      <c r="B1167" t="s">
        <v>1657</v>
      </c>
      <c r="C1167" s="1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  <c r="K1167" t="str">
        <f>TEXT(Table1[[#This Row],[PurchaseDate]],"mmm")</f>
        <v>Apr</v>
      </c>
      <c r="L1167">
        <f>YEAR(Table1[[#This Row],[PurchaseDate]])</f>
        <v>2024</v>
      </c>
      <c r="M1167" t="str">
        <f>IF(Table1[[#This Row],[TotalPrice]]&gt;2000,"High Sales","Low Sales")</f>
        <v>Low Sales</v>
      </c>
    </row>
    <row r="1168" spans="1:13" x14ac:dyDescent="0.3">
      <c r="A1168" t="s">
        <v>1104</v>
      </c>
      <c r="B1168" t="s">
        <v>1658</v>
      </c>
      <c r="C1168" s="1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  <c r="K1168" t="str">
        <f>TEXT(Table1[[#This Row],[PurchaseDate]],"mmm")</f>
        <v>Mar</v>
      </c>
      <c r="L1168">
        <f>YEAR(Table1[[#This Row],[PurchaseDate]])</f>
        <v>2023</v>
      </c>
      <c r="M1168" t="str">
        <f>IF(Table1[[#This Row],[TotalPrice]]&gt;2000,"High Sales","Low Sales")</f>
        <v>Low Sales</v>
      </c>
    </row>
    <row r="1169" spans="1:13" x14ac:dyDescent="0.3">
      <c r="A1169" t="s">
        <v>1105</v>
      </c>
      <c r="B1169" t="s">
        <v>1653</v>
      </c>
      <c r="C1169" s="1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  <c r="K1169" t="str">
        <f>TEXT(Table1[[#This Row],[PurchaseDate]],"mmm")</f>
        <v>May</v>
      </c>
      <c r="L1169">
        <f>YEAR(Table1[[#This Row],[PurchaseDate]])</f>
        <v>2023</v>
      </c>
      <c r="M1169" t="str">
        <f>IF(Table1[[#This Row],[TotalPrice]]&gt;2000,"High Sales","Low Sales")</f>
        <v>High Sales</v>
      </c>
    </row>
    <row r="1170" spans="1:13" x14ac:dyDescent="0.3">
      <c r="A1170" t="s">
        <v>1106</v>
      </c>
      <c r="B1170" t="s">
        <v>1658</v>
      </c>
      <c r="C1170" s="1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  <c r="K1170" t="str">
        <f>TEXT(Table1[[#This Row],[PurchaseDate]],"mmm")</f>
        <v>Dec</v>
      </c>
      <c r="L1170">
        <f>YEAR(Table1[[#This Row],[PurchaseDate]])</f>
        <v>2024</v>
      </c>
      <c r="M1170" t="str">
        <f>IF(Table1[[#This Row],[TotalPrice]]&gt;2000,"High Sales","Low Sales")</f>
        <v>High Sales</v>
      </c>
    </row>
    <row r="1171" spans="1:13" x14ac:dyDescent="0.3">
      <c r="A1171" t="s">
        <v>1107</v>
      </c>
      <c r="B1171" t="s">
        <v>1657</v>
      </c>
      <c r="C1171" s="1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  <c r="K1171" t="str">
        <f>TEXT(Table1[[#This Row],[PurchaseDate]],"mmm")</f>
        <v>Aug</v>
      </c>
      <c r="L1171">
        <f>YEAR(Table1[[#This Row],[PurchaseDate]])</f>
        <v>2024</v>
      </c>
      <c r="M1171" t="str">
        <f>IF(Table1[[#This Row],[TotalPrice]]&gt;2000,"High Sales","Low Sales")</f>
        <v>High Sales</v>
      </c>
    </row>
    <row r="1172" spans="1:13" x14ac:dyDescent="0.3">
      <c r="A1172" t="s">
        <v>1108</v>
      </c>
      <c r="B1172" t="s">
        <v>1658</v>
      </c>
      <c r="C1172" s="1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  <c r="K1172" t="str">
        <f>TEXT(Table1[[#This Row],[PurchaseDate]],"mmm")</f>
        <v>Apr</v>
      </c>
      <c r="L1172">
        <f>YEAR(Table1[[#This Row],[PurchaseDate]])</f>
        <v>2024</v>
      </c>
      <c r="M1172" t="str">
        <f>IF(Table1[[#This Row],[TotalPrice]]&gt;2000,"High Sales","Low Sales")</f>
        <v>High Sales</v>
      </c>
    </row>
    <row r="1173" spans="1:13" x14ac:dyDescent="0.3">
      <c r="A1173" t="s">
        <v>1109</v>
      </c>
      <c r="B1173" t="s">
        <v>1653</v>
      </c>
      <c r="C1173" s="1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  <c r="K1173" t="str">
        <f>TEXT(Table1[[#This Row],[PurchaseDate]],"mmm")</f>
        <v>Jan</v>
      </c>
      <c r="L1173">
        <f>YEAR(Table1[[#This Row],[PurchaseDate]])</f>
        <v>2025</v>
      </c>
      <c r="M1173" t="str">
        <f>IF(Table1[[#This Row],[TotalPrice]]&gt;2000,"High Sales","Low Sales")</f>
        <v>Low Sales</v>
      </c>
    </row>
    <row r="1174" spans="1:13" x14ac:dyDescent="0.3">
      <c r="A1174" t="s">
        <v>1110</v>
      </c>
      <c r="B1174" t="s">
        <v>1654</v>
      </c>
      <c r="C1174" s="1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  <c r="K1174" t="str">
        <f>TEXT(Table1[[#This Row],[PurchaseDate]],"mmm")</f>
        <v>Oct</v>
      </c>
      <c r="L1174">
        <f>YEAR(Table1[[#This Row],[PurchaseDate]])</f>
        <v>2024</v>
      </c>
      <c r="M1174" t="str">
        <f>IF(Table1[[#This Row],[TotalPrice]]&gt;2000,"High Sales","Low Sales")</f>
        <v>Low Sales</v>
      </c>
    </row>
    <row r="1175" spans="1:13" x14ac:dyDescent="0.3">
      <c r="A1175" t="s">
        <v>1111</v>
      </c>
      <c r="B1175" t="s">
        <v>1653</v>
      </c>
      <c r="C1175" s="1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  <c r="K1175" t="str">
        <f>TEXT(Table1[[#This Row],[PurchaseDate]],"mmm")</f>
        <v>Nov</v>
      </c>
      <c r="L1175">
        <f>YEAR(Table1[[#This Row],[PurchaseDate]])</f>
        <v>2024</v>
      </c>
      <c r="M1175" t="str">
        <f>IF(Table1[[#This Row],[TotalPrice]]&gt;2000,"High Sales","Low Sales")</f>
        <v>Low Sales</v>
      </c>
    </row>
    <row r="1176" spans="1:13" x14ac:dyDescent="0.3">
      <c r="A1176" t="s">
        <v>1112</v>
      </c>
      <c r="B1176" t="s">
        <v>1658</v>
      </c>
      <c r="C1176" s="1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  <c r="K1176" t="str">
        <f>TEXT(Table1[[#This Row],[PurchaseDate]],"mmm")</f>
        <v>Jul</v>
      </c>
      <c r="L1176">
        <f>YEAR(Table1[[#This Row],[PurchaseDate]])</f>
        <v>2023</v>
      </c>
      <c r="M1176" t="str">
        <f>IF(Table1[[#This Row],[TotalPrice]]&gt;2000,"High Sales","Low Sales")</f>
        <v>High Sales</v>
      </c>
    </row>
    <row r="1177" spans="1:13" x14ac:dyDescent="0.3">
      <c r="A1177" t="s">
        <v>1113</v>
      </c>
      <c r="B1177" t="s">
        <v>1653</v>
      </c>
      <c r="C1177" s="1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  <c r="K1177" t="str">
        <f>TEXT(Table1[[#This Row],[PurchaseDate]],"mmm")</f>
        <v>Nov</v>
      </c>
      <c r="L1177">
        <f>YEAR(Table1[[#This Row],[PurchaseDate]])</f>
        <v>2023</v>
      </c>
      <c r="M1177" t="str">
        <f>IF(Table1[[#This Row],[TotalPrice]]&gt;2000,"High Sales","Low Sales")</f>
        <v>High Sales</v>
      </c>
    </row>
    <row r="1178" spans="1:13" x14ac:dyDescent="0.3">
      <c r="A1178" t="s">
        <v>1114</v>
      </c>
      <c r="B1178" t="s">
        <v>1654</v>
      </c>
      <c r="C1178" s="1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  <c r="K1178" t="str">
        <f>TEXT(Table1[[#This Row],[PurchaseDate]],"mmm")</f>
        <v>Feb</v>
      </c>
      <c r="L1178">
        <f>YEAR(Table1[[#This Row],[PurchaseDate]])</f>
        <v>2023</v>
      </c>
      <c r="M1178" t="str">
        <f>IF(Table1[[#This Row],[TotalPrice]]&gt;2000,"High Sales","Low Sales")</f>
        <v>Low Sales</v>
      </c>
    </row>
    <row r="1179" spans="1:13" x14ac:dyDescent="0.3">
      <c r="A1179" t="s">
        <v>1115</v>
      </c>
      <c r="B1179" t="s">
        <v>1658</v>
      </c>
      <c r="C1179" s="1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  <c r="K1179" t="str">
        <f>TEXT(Table1[[#This Row],[PurchaseDate]],"mmm")</f>
        <v>Dec</v>
      </c>
      <c r="L1179">
        <f>YEAR(Table1[[#This Row],[PurchaseDate]])</f>
        <v>2024</v>
      </c>
      <c r="M1179" t="str">
        <f>IF(Table1[[#This Row],[TotalPrice]]&gt;2000,"High Sales","Low Sales")</f>
        <v>High Sales</v>
      </c>
    </row>
    <row r="1180" spans="1:13" x14ac:dyDescent="0.3">
      <c r="A1180" t="s">
        <v>1116</v>
      </c>
      <c r="B1180" t="s">
        <v>1652</v>
      </c>
      <c r="C1180" s="1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  <c r="K1180" t="str">
        <f>TEXT(Table1[[#This Row],[PurchaseDate]],"mmm")</f>
        <v>Nov</v>
      </c>
      <c r="L1180">
        <f>YEAR(Table1[[#This Row],[PurchaseDate]])</f>
        <v>2023</v>
      </c>
      <c r="M1180" t="str">
        <f>IF(Table1[[#This Row],[TotalPrice]]&gt;2000,"High Sales","Low Sales")</f>
        <v>High Sales</v>
      </c>
    </row>
    <row r="1181" spans="1:13" x14ac:dyDescent="0.3">
      <c r="A1181" t="s">
        <v>678</v>
      </c>
      <c r="B1181" t="s">
        <v>1658</v>
      </c>
      <c r="C1181" s="1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  <c r="K1181" t="str">
        <f>TEXT(Table1[[#This Row],[PurchaseDate]],"mmm")</f>
        <v>Mar</v>
      </c>
      <c r="L1181">
        <f>YEAR(Table1[[#This Row],[PurchaseDate]])</f>
        <v>2025</v>
      </c>
      <c r="M1181" t="str">
        <f>IF(Table1[[#This Row],[TotalPrice]]&gt;2000,"High Sales","Low Sales")</f>
        <v>Low Sales</v>
      </c>
    </row>
    <row r="1182" spans="1:13" x14ac:dyDescent="0.3">
      <c r="A1182" t="s">
        <v>1117</v>
      </c>
      <c r="B1182" t="s">
        <v>1658</v>
      </c>
      <c r="C1182" s="1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  <c r="K1182" t="str">
        <f>TEXT(Table1[[#This Row],[PurchaseDate]],"mmm")</f>
        <v>Jun</v>
      </c>
      <c r="L1182">
        <f>YEAR(Table1[[#This Row],[PurchaseDate]])</f>
        <v>2023</v>
      </c>
      <c r="M1182" t="str">
        <f>IF(Table1[[#This Row],[TotalPrice]]&gt;2000,"High Sales","Low Sales")</f>
        <v>High Sales</v>
      </c>
    </row>
    <row r="1183" spans="1:13" x14ac:dyDescent="0.3">
      <c r="A1183" t="s">
        <v>1118</v>
      </c>
      <c r="B1183" t="s">
        <v>1656</v>
      </c>
      <c r="C1183" s="1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  <c r="K1183" t="str">
        <f>TEXT(Table1[[#This Row],[PurchaseDate]],"mmm")</f>
        <v>Aug</v>
      </c>
      <c r="L1183">
        <f>YEAR(Table1[[#This Row],[PurchaseDate]])</f>
        <v>2023</v>
      </c>
      <c r="M1183" t="str">
        <f>IF(Table1[[#This Row],[TotalPrice]]&gt;2000,"High Sales","Low Sales")</f>
        <v>Low Sales</v>
      </c>
    </row>
    <row r="1184" spans="1:13" x14ac:dyDescent="0.3">
      <c r="A1184" t="s">
        <v>1119</v>
      </c>
      <c r="B1184" t="s">
        <v>1653</v>
      </c>
      <c r="C1184" s="1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  <c r="K1184" t="str">
        <f>TEXT(Table1[[#This Row],[PurchaseDate]],"mmm")</f>
        <v>May</v>
      </c>
      <c r="L1184">
        <f>YEAR(Table1[[#This Row],[PurchaseDate]])</f>
        <v>2024</v>
      </c>
      <c r="M1184" t="str">
        <f>IF(Table1[[#This Row],[TotalPrice]]&gt;2000,"High Sales","Low Sales")</f>
        <v>Low Sales</v>
      </c>
    </row>
    <row r="1185" spans="1:13" x14ac:dyDescent="0.3">
      <c r="A1185" t="s">
        <v>1120</v>
      </c>
      <c r="B1185" t="s">
        <v>1655</v>
      </c>
      <c r="C1185" s="1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  <c r="K1185" t="str">
        <f>TEXT(Table1[[#This Row],[PurchaseDate]],"mmm")</f>
        <v>Jun</v>
      </c>
      <c r="L1185">
        <f>YEAR(Table1[[#This Row],[PurchaseDate]])</f>
        <v>2025</v>
      </c>
      <c r="M1185" t="str">
        <f>IF(Table1[[#This Row],[TotalPrice]]&gt;2000,"High Sales","Low Sales")</f>
        <v>High Sales</v>
      </c>
    </row>
    <row r="1186" spans="1:13" x14ac:dyDescent="0.3">
      <c r="A1186" t="s">
        <v>1121</v>
      </c>
      <c r="B1186" t="s">
        <v>1654</v>
      </c>
      <c r="C1186" s="1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  <c r="K1186" t="str">
        <f>TEXT(Table1[[#This Row],[PurchaseDate]],"mmm")</f>
        <v>Jun</v>
      </c>
      <c r="L1186">
        <f>YEAR(Table1[[#This Row],[PurchaseDate]])</f>
        <v>2025</v>
      </c>
      <c r="M1186" t="str">
        <f>IF(Table1[[#This Row],[TotalPrice]]&gt;2000,"High Sales","Low Sales")</f>
        <v>High Sales</v>
      </c>
    </row>
    <row r="1187" spans="1:13" x14ac:dyDescent="0.3">
      <c r="A1187" t="s">
        <v>145</v>
      </c>
      <c r="B1187" t="s">
        <v>1657</v>
      </c>
      <c r="C1187" s="1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  <c r="K1187" t="str">
        <f>TEXT(Table1[[#This Row],[PurchaseDate]],"mmm")</f>
        <v>Aug</v>
      </c>
      <c r="L1187">
        <f>YEAR(Table1[[#This Row],[PurchaseDate]])</f>
        <v>2023</v>
      </c>
      <c r="M1187" t="str">
        <f>IF(Table1[[#This Row],[TotalPrice]]&gt;2000,"High Sales","Low Sales")</f>
        <v>Low Sales</v>
      </c>
    </row>
    <row r="1188" spans="1:13" x14ac:dyDescent="0.3">
      <c r="A1188" t="s">
        <v>1122</v>
      </c>
      <c r="B1188" t="s">
        <v>1654</v>
      </c>
      <c r="C1188" s="1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  <c r="K1188" t="str">
        <f>TEXT(Table1[[#This Row],[PurchaseDate]],"mmm")</f>
        <v>Mar</v>
      </c>
      <c r="L1188">
        <f>YEAR(Table1[[#This Row],[PurchaseDate]])</f>
        <v>2023</v>
      </c>
      <c r="M1188" t="str">
        <f>IF(Table1[[#This Row],[TotalPrice]]&gt;2000,"High Sales","Low Sales")</f>
        <v>High Sales</v>
      </c>
    </row>
    <row r="1189" spans="1:13" x14ac:dyDescent="0.3">
      <c r="A1189" t="s">
        <v>1123</v>
      </c>
      <c r="B1189" t="s">
        <v>1652</v>
      </c>
      <c r="C1189" s="1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  <c r="K1189" t="str">
        <f>TEXT(Table1[[#This Row],[PurchaseDate]],"mmm")</f>
        <v>Apr</v>
      </c>
      <c r="L1189">
        <f>YEAR(Table1[[#This Row],[PurchaseDate]])</f>
        <v>2025</v>
      </c>
      <c r="M1189" t="str">
        <f>IF(Table1[[#This Row],[TotalPrice]]&gt;2000,"High Sales","Low Sales")</f>
        <v>Low Sales</v>
      </c>
    </row>
    <row r="1190" spans="1:13" x14ac:dyDescent="0.3">
      <c r="A1190" t="s">
        <v>1124</v>
      </c>
      <c r="B1190" t="s">
        <v>1652</v>
      </c>
      <c r="C1190" s="1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  <c r="K1190" t="str">
        <f>TEXT(Table1[[#This Row],[PurchaseDate]],"mmm")</f>
        <v>May</v>
      </c>
      <c r="L1190">
        <f>YEAR(Table1[[#This Row],[PurchaseDate]])</f>
        <v>2024</v>
      </c>
      <c r="M1190" t="str">
        <f>IF(Table1[[#This Row],[TotalPrice]]&gt;2000,"High Sales","Low Sales")</f>
        <v>Low Sales</v>
      </c>
    </row>
    <row r="1191" spans="1:13" x14ac:dyDescent="0.3">
      <c r="A1191" t="s">
        <v>1125</v>
      </c>
      <c r="B1191" t="s">
        <v>1655</v>
      </c>
      <c r="C1191" s="1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  <c r="K1191" t="str">
        <f>TEXT(Table1[[#This Row],[PurchaseDate]],"mmm")</f>
        <v>May</v>
      </c>
      <c r="L1191">
        <f>YEAR(Table1[[#This Row],[PurchaseDate]])</f>
        <v>2024</v>
      </c>
      <c r="M1191" t="str">
        <f>IF(Table1[[#This Row],[TotalPrice]]&gt;2000,"High Sales","Low Sales")</f>
        <v>High Sales</v>
      </c>
    </row>
    <row r="1192" spans="1:13" x14ac:dyDescent="0.3">
      <c r="A1192" t="s">
        <v>1126</v>
      </c>
      <c r="B1192" t="s">
        <v>1657</v>
      </c>
      <c r="C1192" s="1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  <c r="K1192" t="str">
        <f>TEXT(Table1[[#This Row],[PurchaseDate]],"mmm")</f>
        <v>Apr</v>
      </c>
      <c r="L1192">
        <f>YEAR(Table1[[#This Row],[PurchaseDate]])</f>
        <v>2025</v>
      </c>
      <c r="M1192" t="str">
        <f>IF(Table1[[#This Row],[TotalPrice]]&gt;2000,"High Sales","Low Sales")</f>
        <v>Low Sales</v>
      </c>
    </row>
    <row r="1193" spans="1:13" x14ac:dyDescent="0.3">
      <c r="A1193" t="s">
        <v>1127</v>
      </c>
      <c r="B1193" t="s">
        <v>1657</v>
      </c>
      <c r="C1193" s="1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  <c r="K1193" t="str">
        <f>TEXT(Table1[[#This Row],[PurchaseDate]],"mmm")</f>
        <v>Apr</v>
      </c>
      <c r="L1193">
        <f>YEAR(Table1[[#This Row],[PurchaseDate]])</f>
        <v>2023</v>
      </c>
      <c r="M1193" t="str">
        <f>IF(Table1[[#This Row],[TotalPrice]]&gt;2000,"High Sales","Low Sales")</f>
        <v>Low Sales</v>
      </c>
    </row>
    <row r="1194" spans="1:13" x14ac:dyDescent="0.3">
      <c r="A1194" t="s">
        <v>1128</v>
      </c>
      <c r="B1194" t="s">
        <v>1657</v>
      </c>
      <c r="C1194" s="1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  <c r="K1194" t="str">
        <f>TEXT(Table1[[#This Row],[PurchaseDate]],"mmm")</f>
        <v>Mar</v>
      </c>
      <c r="L1194">
        <f>YEAR(Table1[[#This Row],[PurchaseDate]])</f>
        <v>2024</v>
      </c>
      <c r="M1194" t="str">
        <f>IF(Table1[[#This Row],[TotalPrice]]&gt;2000,"High Sales","Low Sales")</f>
        <v>Low Sales</v>
      </c>
    </row>
    <row r="1195" spans="1:13" x14ac:dyDescent="0.3">
      <c r="A1195" t="s">
        <v>1129</v>
      </c>
      <c r="B1195" t="s">
        <v>1653</v>
      </c>
      <c r="C1195" s="1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  <c r="K1195" t="str">
        <f>TEXT(Table1[[#This Row],[PurchaseDate]],"mmm")</f>
        <v>Jun</v>
      </c>
      <c r="L1195">
        <f>YEAR(Table1[[#This Row],[PurchaseDate]])</f>
        <v>2024</v>
      </c>
      <c r="M1195" t="str">
        <f>IF(Table1[[#This Row],[TotalPrice]]&gt;2000,"High Sales","Low Sales")</f>
        <v>Low Sales</v>
      </c>
    </row>
    <row r="1196" spans="1:13" x14ac:dyDescent="0.3">
      <c r="A1196" t="s">
        <v>1130</v>
      </c>
      <c r="B1196" t="s">
        <v>1654</v>
      </c>
      <c r="C1196" s="1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  <c r="K1196" t="str">
        <f>TEXT(Table1[[#This Row],[PurchaseDate]],"mmm")</f>
        <v>Jun</v>
      </c>
      <c r="L1196">
        <f>YEAR(Table1[[#This Row],[PurchaseDate]])</f>
        <v>2023</v>
      </c>
      <c r="M1196" t="str">
        <f>IF(Table1[[#This Row],[TotalPrice]]&gt;2000,"High Sales","Low Sales")</f>
        <v>Low Sales</v>
      </c>
    </row>
    <row r="1197" spans="1:13" x14ac:dyDescent="0.3">
      <c r="A1197" t="s">
        <v>1131</v>
      </c>
      <c r="B1197" t="s">
        <v>1657</v>
      </c>
      <c r="C1197" s="1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  <c r="K1197" t="str">
        <f>TEXT(Table1[[#This Row],[PurchaseDate]],"mmm")</f>
        <v>May</v>
      </c>
      <c r="L1197">
        <f>YEAR(Table1[[#This Row],[PurchaseDate]])</f>
        <v>2024</v>
      </c>
      <c r="M1197" t="str">
        <f>IF(Table1[[#This Row],[TotalPrice]]&gt;2000,"High Sales","Low Sales")</f>
        <v>Low Sales</v>
      </c>
    </row>
    <row r="1198" spans="1:13" x14ac:dyDescent="0.3">
      <c r="A1198" t="s">
        <v>43</v>
      </c>
      <c r="B1198" t="s">
        <v>1658</v>
      </c>
      <c r="C1198" s="1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  <c r="K1198" t="str">
        <f>TEXT(Table1[[#This Row],[PurchaseDate]],"mmm")</f>
        <v>Aug</v>
      </c>
      <c r="L1198">
        <f>YEAR(Table1[[#This Row],[PurchaseDate]])</f>
        <v>2024</v>
      </c>
      <c r="M1198" t="str">
        <f>IF(Table1[[#This Row],[TotalPrice]]&gt;2000,"High Sales","Low Sales")</f>
        <v>High Sales</v>
      </c>
    </row>
    <row r="1199" spans="1:13" x14ac:dyDescent="0.3">
      <c r="A1199" t="s">
        <v>1132</v>
      </c>
      <c r="B1199" t="s">
        <v>1657</v>
      </c>
      <c r="C1199" s="1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  <c r="K1199" t="str">
        <f>TEXT(Table1[[#This Row],[PurchaseDate]],"mmm")</f>
        <v>Aug</v>
      </c>
      <c r="L1199">
        <f>YEAR(Table1[[#This Row],[PurchaseDate]])</f>
        <v>2024</v>
      </c>
      <c r="M1199" t="str">
        <f>IF(Table1[[#This Row],[TotalPrice]]&gt;2000,"High Sales","Low Sales")</f>
        <v>Low Sales</v>
      </c>
    </row>
    <row r="1200" spans="1:13" x14ac:dyDescent="0.3">
      <c r="A1200" t="s">
        <v>1133</v>
      </c>
      <c r="B1200" t="s">
        <v>1655</v>
      </c>
      <c r="C1200" s="1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  <c r="K1200" t="str">
        <f>TEXT(Table1[[#This Row],[PurchaseDate]],"mmm")</f>
        <v>Oct</v>
      </c>
      <c r="L1200">
        <f>YEAR(Table1[[#This Row],[PurchaseDate]])</f>
        <v>2023</v>
      </c>
      <c r="M1200" t="str">
        <f>IF(Table1[[#This Row],[TotalPrice]]&gt;2000,"High Sales","Low Sales")</f>
        <v>Low Sales</v>
      </c>
    </row>
    <row r="1201" spans="1:13" x14ac:dyDescent="0.3">
      <c r="A1201" t="s">
        <v>93</v>
      </c>
      <c r="B1201" t="s">
        <v>1658</v>
      </c>
      <c r="C1201" s="1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  <c r="K1201" t="str">
        <f>TEXT(Table1[[#This Row],[PurchaseDate]],"mmm")</f>
        <v>Jun</v>
      </c>
      <c r="L1201">
        <f>YEAR(Table1[[#This Row],[PurchaseDate]])</f>
        <v>2023</v>
      </c>
      <c r="M1201" t="str">
        <f>IF(Table1[[#This Row],[TotalPrice]]&gt;2000,"High Sales","Low Sales")</f>
        <v>High Sales</v>
      </c>
    </row>
    <row r="1202" spans="1:13" x14ac:dyDescent="0.3">
      <c r="A1202" t="s">
        <v>1134</v>
      </c>
      <c r="B1202" t="s">
        <v>1657</v>
      </c>
      <c r="C1202" s="1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  <c r="K1202" t="str">
        <f>TEXT(Table1[[#This Row],[PurchaseDate]],"mmm")</f>
        <v>Apr</v>
      </c>
      <c r="L1202">
        <f>YEAR(Table1[[#This Row],[PurchaseDate]])</f>
        <v>2024</v>
      </c>
      <c r="M1202" t="str">
        <f>IF(Table1[[#This Row],[TotalPrice]]&gt;2000,"High Sales","Low Sales")</f>
        <v>Low Sales</v>
      </c>
    </row>
    <row r="1203" spans="1:13" x14ac:dyDescent="0.3">
      <c r="A1203" t="s">
        <v>1135</v>
      </c>
      <c r="B1203" t="s">
        <v>1657</v>
      </c>
      <c r="C1203" s="1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  <c r="K1203" t="str">
        <f>TEXT(Table1[[#This Row],[PurchaseDate]],"mmm")</f>
        <v>Feb</v>
      </c>
      <c r="L1203">
        <f>YEAR(Table1[[#This Row],[PurchaseDate]])</f>
        <v>2025</v>
      </c>
      <c r="M1203" t="str">
        <f>IF(Table1[[#This Row],[TotalPrice]]&gt;2000,"High Sales","Low Sales")</f>
        <v>Low Sales</v>
      </c>
    </row>
    <row r="1204" spans="1:13" x14ac:dyDescent="0.3">
      <c r="A1204" t="s">
        <v>1136</v>
      </c>
      <c r="B1204" t="s">
        <v>1657</v>
      </c>
      <c r="C1204" s="1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  <c r="K1204" t="str">
        <f>TEXT(Table1[[#This Row],[PurchaseDate]],"mmm")</f>
        <v>Nov</v>
      </c>
      <c r="L1204">
        <f>YEAR(Table1[[#This Row],[PurchaseDate]])</f>
        <v>2024</v>
      </c>
      <c r="M1204" t="str">
        <f>IF(Table1[[#This Row],[TotalPrice]]&gt;2000,"High Sales","Low Sales")</f>
        <v>Low Sales</v>
      </c>
    </row>
    <row r="1205" spans="1:13" x14ac:dyDescent="0.3">
      <c r="A1205" t="s">
        <v>1137</v>
      </c>
      <c r="B1205" t="s">
        <v>1655</v>
      </c>
      <c r="C1205" s="1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  <c r="K1205" t="str">
        <f>TEXT(Table1[[#This Row],[PurchaseDate]],"mmm")</f>
        <v>Apr</v>
      </c>
      <c r="L1205">
        <f>YEAR(Table1[[#This Row],[PurchaseDate]])</f>
        <v>2023</v>
      </c>
      <c r="M1205" t="str">
        <f>IF(Table1[[#This Row],[TotalPrice]]&gt;2000,"High Sales","Low Sales")</f>
        <v>Low Sales</v>
      </c>
    </row>
    <row r="1206" spans="1:13" x14ac:dyDescent="0.3">
      <c r="A1206" t="s">
        <v>1138</v>
      </c>
      <c r="B1206" t="s">
        <v>1658</v>
      </c>
      <c r="C1206" s="1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  <c r="K1206" t="str">
        <f>TEXT(Table1[[#This Row],[PurchaseDate]],"mmm")</f>
        <v>Jun</v>
      </c>
      <c r="L1206">
        <f>YEAR(Table1[[#This Row],[PurchaseDate]])</f>
        <v>2023</v>
      </c>
      <c r="M1206" t="str">
        <f>IF(Table1[[#This Row],[TotalPrice]]&gt;2000,"High Sales","Low Sales")</f>
        <v>Low Sales</v>
      </c>
    </row>
    <row r="1207" spans="1:13" x14ac:dyDescent="0.3">
      <c r="A1207" t="s">
        <v>1139</v>
      </c>
      <c r="B1207" t="s">
        <v>1653</v>
      </c>
      <c r="C1207" s="1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  <c r="K1207" t="str">
        <f>TEXT(Table1[[#This Row],[PurchaseDate]],"mmm")</f>
        <v>Aug</v>
      </c>
      <c r="L1207">
        <f>YEAR(Table1[[#This Row],[PurchaseDate]])</f>
        <v>2024</v>
      </c>
      <c r="M1207" t="str">
        <f>IF(Table1[[#This Row],[TotalPrice]]&gt;2000,"High Sales","Low Sales")</f>
        <v>Low Sales</v>
      </c>
    </row>
    <row r="1208" spans="1:13" x14ac:dyDescent="0.3">
      <c r="A1208" t="s">
        <v>1140</v>
      </c>
      <c r="B1208" t="s">
        <v>1657</v>
      </c>
      <c r="C1208" s="1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  <c r="K1208" t="str">
        <f>TEXT(Table1[[#This Row],[PurchaseDate]],"mmm")</f>
        <v>Feb</v>
      </c>
      <c r="L1208">
        <f>YEAR(Table1[[#This Row],[PurchaseDate]])</f>
        <v>2024</v>
      </c>
      <c r="M1208" t="str">
        <f>IF(Table1[[#This Row],[TotalPrice]]&gt;2000,"High Sales","Low Sales")</f>
        <v>Low Sales</v>
      </c>
    </row>
    <row r="1209" spans="1:13" x14ac:dyDescent="0.3">
      <c r="A1209" t="s">
        <v>1141</v>
      </c>
      <c r="B1209" t="s">
        <v>1653</v>
      </c>
      <c r="C1209" s="1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  <c r="K1209" t="str">
        <f>TEXT(Table1[[#This Row],[PurchaseDate]],"mmm")</f>
        <v>Feb</v>
      </c>
      <c r="L1209">
        <f>YEAR(Table1[[#This Row],[PurchaseDate]])</f>
        <v>2024</v>
      </c>
      <c r="M1209" t="str">
        <f>IF(Table1[[#This Row],[TotalPrice]]&gt;2000,"High Sales","Low Sales")</f>
        <v>High Sales</v>
      </c>
    </row>
    <row r="1210" spans="1:13" x14ac:dyDescent="0.3">
      <c r="A1210" t="s">
        <v>329</v>
      </c>
      <c r="B1210" t="s">
        <v>1658</v>
      </c>
      <c r="C1210" s="1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  <c r="K1210" t="str">
        <f>TEXT(Table1[[#This Row],[PurchaseDate]],"mmm")</f>
        <v>Mar</v>
      </c>
      <c r="L1210">
        <f>YEAR(Table1[[#This Row],[PurchaseDate]])</f>
        <v>2023</v>
      </c>
      <c r="M1210" t="str">
        <f>IF(Table1[[#This Row],[TotalPrice]]&gt;2000,"High Sales","Low Sales")</f>
        <v>Low Sales</v>
      </c>
    </row>
    <row r="1211" spans="1:13" x14ac:dyDescent="0.3">
      <c r="A1211" t="s">
        <v>1142</v>
      </c>
      <c r="B1211" t="s">
        <v>1652</v>
      </c>
      <c r="C1211" s="1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  <c r="K1211" t="str">
        <f>TEXT(Table1[[#This Row],[PurchaseDate]],"mmm")</f>
        <v>May</v>
      </c>
      <c r="L1211">
        <f>YEAR(Table1[[#This Row],[PurchaseDate]])</f>
        <v>2023</v>
      </c>
      <c r="M1211" t="str">
        <f>IF(Table1[[#This Row],[TotalPrice]]&gt;2000,"High Sales","Low Sales")</f>
        <v>Low Sales</v>
      </c>
    </row>
    <row r="1212" spans="1:13" x14ac:dyDescent="0.3">
      <c r="A1212" t="s">
        <v>1143</v>
      </c>
      <c r="B1212" t="s">
        <v>1657</v>
      </c>
      <c r="C1212" s="1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  <c r="K1212" t="str">
        <f>TEXT(Table1[[#This Row],[PurchaseDate]],"mmm")</f>
        <v>May</v>
      </c>
      <c r="L1212">
        <f>YEAR(Table1[[#This Row],[PurchaseDate]])</f>
        <v>2025</v>
      </c>
      <c r="M1212" t="str">
        <f>IF(Table1[[#This Row],[TotalPrice]]&gt;2000,"High Sales","Low Sales")</f>
        <v>Low Sales</v>
      </c>
    </row>
    <row r="1213" spans="1:13" x14ac:dyDescent="0.3">
      <c r="A1213" t="s">
        <v>1144</v>
      </c>
      <c r="B1213" t="s">
        <v>1655</v>
      </c>
      <c r="C1213" s="1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  <c r="K1213" t="str">
        <f>TEXT(Table1[[#This Row],[PurchaseDate]],"mmm")</f>
        <v>May</v>
      </c>
      <c r="L1213">
        <f>YEAR(Table1[[#This Row],[PurchaseDate]])</f>
        <v>2023</v>
      </c>
      <c r="M1213" t="str">
        <f>IF(Table1[[#This Row],[TotalPrice]]&gt;2000,"High Sales","Low Sales")</f>
        <v>Low Sales</v>
      </c>
    </row>
    <row r="1214" spans="1:13" x14ac:dyDescent="0.3">
      <c r="A1214" t="s">
        <v>1145</v>
      </c>
      <c r="B1214" t="s">
        <v>1652</v>
      </c>
      <c r="C1214" s="1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  <c r="K1214" t="str">
        <f>TEXT(Table1[[#This Row],[PurchaseDate]],"mmm")</f>
        <v>Oct</v>
      </c>
      <c r="L1214">
        <f>YEAR(Table1[[#This Row],[PurchaseDate]])</f>
        <v>2024</v>
      </c>
      <c r="M1214" t="str">
        <f>IF(Table1[[#This Row],[TotalPrice]]&gt;2000,"High Sales","Low Sales")</f>
        <v>Low Sales</v>
      </c>
    </row>
    <row r="1215" spans="1:13" x14ac:dyDescent="0.3">
      <c r="A1215" t="s">
        <v>1146</v>
      </c>
      <c r="B1215" t="s">
        <v>1656</v>
      </c>
      <c r="C1215" s="1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  <c r="K1215" t="str">
        <f>TEXT(Table1[[#This Row],[PurchaseDate]],"mmm")</f>
        <v>Jan</v>
      </c>
      <c r="L1215">
        <f>YEAR(Table1[[#This Row],[PurchaseDate]])</f>
        <v>2024</v>
      </c>
      <c r="M1215" t="str">
        <f>IF(Table1[[#This Row],[TotalPrice]]&gt;2000,"High Sales","Low Sales")</f>
        <v>High Sales</v>
      </c>
    </row>
    <row r="1216" spans="1:13" x14ac:dyDescent="0.3">
      <c r="A1216" t="s">
        <v>1147</v>
      </c>
      <c r="B1216" t="s">
        <v>1656</v>
      </c>
      <c r="C1216" s="1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  <c r="K1216" t="str">
        <f>TEXT(Table1[[#This Row],[PurchaseDate]],"mmm")</f>
        <v>Apr</v>
      </c>
      <c r="L1216">
        <f>YEAR(Table1[[#This Row],[PurchaseDate]])</f>
        <v>2024</v>
      </c>
      <c r="M1216" t="str">
        <f>IF(Table1[[#This Row],[TotalPrice]]&gt;2000,"High Sales","Low Sales")</f>
        <v>Low Sales</v>
      </c>
    </row>
    <row r="1217" spans="1:13" x14ac:dyDescent="0.3">
      <c r="A1217" t="s">
        <v>1148</v>
      </c>
      <c r="B1217" t="s">
        <v>1657</v>
      </c>
      <c r="C1217" s="1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  <c r="K1217" t="str">
        <f>TEXT(Table1[[#This Row],[PurchaseDate]],"mmm")</f>
        <v>Jan</v>
      </c>
      <c r="L1217">
        <f>YEAR(Table1[[#This Row],[PurchaseDate]])</f>
        <v>2024</v>
      </c>
      <c r="M1217" t="str">
        <f>IF(Table1[[#This Row],[TotalPrice]]&gt;2000,"High Sales","Low Sales")</f>
        <v>High Sales</v>
      </c>
    </row>
    <row r="1218" spans="1:13" x14ac:dyDescent="0.3">
      <c r="A1218" t="s">
        <v>1149</v>
      </c>
      <c r="B1218" t="s">
        <v>1658</v>
      </c>
      <c r="C1218" s="1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  <c r="K1218" t="str">
        <f>TEXT(Table1[[#This Row],[PurchaseDate]],"mmm")</f>
        <v>Jul</v>
      </c>
      <c r="L1218">
        <f>YEAR(Table1[[#This Row],[PurchaseDate]])</f>
        <v>2023</v>
      </c>
      <c r="M1218" t="str">
        <f>IF(Table1[[#This Row],[TotalPrice]]&gt;2000,"High Sales","Low Sales")</f>
        <v>High Sales</v>
      </c>
    </row>
    <row r="1219" spans="1:13" x14ac:dyDescent="0.3">
      <c r="A1219" t="s">
        <v>1150</v>
      </c>
      <c r="B1219" t="s">
        <v>1654</v>
      </c>
      <c r="C1219" s="1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  <c r="K1219" t="str">
        <f>TEXT(Table1[[#This Row],[PurchaseDate]],"mmm")</f>
        <v>Apr</v>
      </c>
      <c r="L1219">
        <f>YEAR(Table1[[#This Row],[PurchaseDate]])</f>
        <v>2025</v>
      </c>
      <c r="M1219" t="str">
        <f>IF(Table1[[#This Row],[TotalPrice]]&gt;2000,"High Sales","Low Sales")</f>
        <v>Low Sales</v>
      </c>
    </row>
    <row r="1220" spans="1:13" x14ac:dyDescent="0.3">
      <c r="A1220" t="s">
        <v>1058</v>
      </c>
      <c r="B1220" t="s">
        <v>1655</v>
      </c>
      <c r="C1220" s="1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  <c r="K1220" t="str">
        <f>TEXT(Table1[[#This Row],[PurchaseDate]],"mmm")</f>
        <v>May</v>
      </c>
      <c r="L1220">
        <f>YEAR(Table1[[#This Row],[PurchaseDate]])</f>
        <v>2025</v>
      </c>
      <c r="M1220" t="str">
        <f>IF(Table1[[#This Row],[TotalPrice]]&gt;2000,"High Sales","Low Sales")</f>
        <v>High Sales</v>
      </c>
    </row>
    <row r="1221" spans="1:13" x14ac:dyDescent="0.3">
      <c r="A1221" t="s">
        <v>1151</v>
      </c>
      <c r="B1221" t="s">
        <v>1658</v>
      </c>
      <c r="C1221" s="1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  <c r="K1221" t="str">
        <f>TEXT(Table1[[#This Row],[PurchaseDate]],"mmm")</f>
        <v>Jun</v>
      </c>
      <c r="L1221">
        <f>YEAR(Table1[[#This Row],[PurchaseDate]])</f>
        <v>2025</v>
      </c>
      <c r="M1221" t="str">
        <f>IF(Table1[[#This Row],[TotalPrice]]&gt;2000,"High Sales","Low Sales")</f>
        <v>Low Sales</v>
      </c>
    </row>
    <row r="1222" spans="1:13" x14ac:dyDescent="0.3">
      <c r="A1222" t="s">
        <v>61</v>
      </c>
      <c r="B1222" t="s">
        <v>1656</v>
      </c>
      <c r="C1222" s="1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  <c r="K1222" t="str">
        <f>TEXT(Table1[[#This Row],[PurchaseDate]],"mmm")</f>
        <v>Oct</v>
      </c>
      <c r="L1222">
        <f>YEAR(Table1[[#This Row],[PurchaseDate]])</f>
        <v>2024</v>
      </c>
      <c r="M1222" t="str">
        <f>IF(Table1[[#This Row],[TotalPrice]]&gt;2000,"High Sales","Low Sales")</f>
        <v>Low Sales</v>
      </c>
    </row>
    <row r="1223" spans="1:13" x14ac:dyDescent="0.3">
      <c r="A1223" t="s">
        <v>1152</v>
      </c>
      <c r="B1223" t="s">
        <v>1656</v>
      </c>
      <c r="C1223" s="1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  <c r="K1223" t="str">
        <f>TEXT(Table1[[#This Row],[PurchaseDate]],"mmm")</f>
        <v>Jun</v>
      </c>
      <c r="L1223">
        <f>YEAR(Table1[[#This Row],[PurchaseDate]])</f>
        <v>2024</v>
      </c>
      <c r="M1223" t="str">
        <f>IF(Table1[[#This Row],[TotalPrice]]&gt;2000,"High Sales","Low Sales")</f>
        <v>Low Sales</v>
      </c>
    </row>
    <row r="1224" spans="1:13" x14ac:dyDescent="0.3">
      <c r="A1224" t="s">
        <v>1153</v>
      </c>
      <c r="B1224" t="s">
        <v>1657</v>
      </c>
      <c r="C1224" s="1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  <c r="K1224" t="str">
        <f>TEXT(Table1[[#This Row],[PurchaseDate]],"mmm")</f>
        <v>Aug</v>
      </c>
      <c r="L1224">
        <f>YEAR(Table1[[#This Row],[PurchaseDate]])</f>
        <v>2024</v>
      </c>
      <c r="M1224" t="str">
        <f>IF(Table1[[#This Row],[TotalPrice]]&gt;2000,"High Sales","Low Sales")</f>
        <v>High Sales</v>
      </c>
    </row>
    <row r="1225" spans="1:13" x14ac:dyDescent="0.3">
      <c r="A1225" t="s">
        <v>1154</v>
      </c>
      <c r="B1225" t="s">
        <v>1658</v>
      </c>
      <c r="C1225" s="1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  <c r="K1225" t="str">
        <f>TEXT(Table1[[#This Row],[PurchaseDate]],"mmm")</f>
        <v>May</v>
      </c>
      <c r="L1225">
        <f>YEAR(Table1[[#This Row],[PurchaseDate]])</f>
        <v>2023</v>
      </c>
      <c r="M1225" t="str">
        <f>IF(Table1[[#This Row],[TotalPrice]]&gt;2000,"High Sales","Low Sales")</f>
        <v>High Sales</v>
      </c>
    </row>
    <row r="1226" spans="1:13" x14ac:dyDescent="0.3">
      <c r="A1226" t="s">
        <v>1155</v>
      </c>
      <c r="B1226" t="s">
        <v>1652</v>
      </c>
      <c r="C1226" s="1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  <c r="K1226" t="str">
        <f>TEXT(Table1[[#This Row],[PurchaseDate]],"mmm")</f>
        <v>Sep</v>
      </c>
      <c r="L1226">
        <f>YEAR(Table1[[#This Row],[PurchaseDate]])</f>
        <v>2024</v>
      </c>
      <c r="M1226" t="str">
        <f>IF(Table1[[#This Row],[TotalPrice]]&gt;2000,"High Sales","Low Sales")</f>
        <v>High Sales</v>
      </c>
    </row>
    <row r="1227" spans="1:13" x14ac:dyDescent="0.3">
      <c r="A1227" t="s">
        <v>1156</v>
      </c>
      <c r="B1227" t="s">
        <v>1654</v>
      </c>
      <c r="C1227" s="1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  <c r="K1227" t="str">
        <f>TEXT(Table1[[#This Row],[PurchaseDate]],"mmm")</f>
        <v>Feb</v>
      </c>
      <c r="L1227">
        <f>YEAR(Table1[[#This Row],[PurchaseDate]])</f>
        <v>2024</v>
      </c>
      <c r="M1227" t="str">
        <f>IF(Table1[[#This Row],[TotalPrice]]&gt;2000,"High Sales","Low Sales")</f>
        <v>High Sales</v>
      </c>
    </row>
    <row r="1228" spans="1:13" x14ac:dyDescent="0.3">
      <c r="A1228" t="s">
        <v>1157</v>
      </c>
      <c r="B1228" t="s">
        <v>1654</v>
      </c>
      <c r="C1228" s="1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  <c r="K1228" t="str">
        <f>TEXT(Table1[[#This Row],[PurchaseDate]],"mmm")</f>
        <v>Feb</v>
      </c>
      <c r="L1228">
        <f>YEAR(Table1[[#This Row],[PurchaseDate]])</f>
        <v>2025</v>
      </c>
      <c r="M1228" t="str">
        <f>IF(Table1[[#This Row],[TotalPrice]]&gt;2000,"High Sales","Low Sales")</f>
        <v>Low Sales</v>
      </c>
    </row>
    <row r="1229" spans="1:13" x14ac:dyDescent="0.3">
      <c r="A1229" t="s">
        <v>1158</v>
      </c>
      <c r="B1229" t="s">
        <v>1658</v>
      </c>
      <c r="C1229" s="1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  <c r="K1229" t="str">
        <f>TEXT(Table1[[#This Row],[PurchaseDate]],"mmm")</f>
        <v>Mar</v>
      </c>
      <c r="L1229">
        <f>YEAR(Table1[[#This Row],[PurchaseDate]])</f>
        <v>2023</v>
      </c>
      <c r="M1229" t="str">
        <f>IF(Table1[[#This Row],[TotalPrice]]&gt;2000,"High Sales","Low Sales")</f>
        <v>Low Sales</v>
      </c>
    </row>
    <row r="1230" spans="1:13" x14ac:dyDescent="0.3">
      <c r="A1230" t="s">
        <v>1159</v>
      </c>
      <c r="B1230" t="s">
        <v>1656</v>
      </c>
      <c r="C1230" s="1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  <c r="K1230" t="str">
        <f>TEXT(Table1[[#This Row],[PurchaseDate]],"mmm")</f>
        <v>Oct</v>
      </c>
      <c r="L1230">
        <f>YEAR(Table1[[#This Row],[PurchaseDate]])</f>
        <v>2023</v>
      </c>
      <c r="M1230" t="str">
        <f>IF(Table1[[#This Row],[TotalPrice]]&gt;2000,"High Sales","Low Sales")</f>
        <v>High Sales</v>
      </c>
    </row>
    <row r="1231" spans="1:13" x14ac:dyDescent="0.3">
      <c r="A1231" t="s">
        <v>1160</v>
      </c>
      <c r="B1231" t="s">
        <v>1652</v>
      </c>
      <c r="C1231" s="1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  <c r="K1231" t="str">
        <f>TEXT(Table1[[#This Row],[PurchaseDate]],"mmm")</f>
        <v>Feb</v>
      </c>
      <c r="L1231">
        <f>YEAR(Table1[[#This Row],[PurchaseDate]])</f>
        <v>2025</v>
      </c>
      <c r="M1231" t="str">
        <f>IF(Table1[[#This Row],[TotalPrice]]&gt;2000,"High Sales","Low Sales")</f>
        <v>Low Sales</v>
      </c>
    </row>
    <row r="1232" spans="1:13" x14ac:dyDescent="0.3">
      <c r="A1232" t="s">
        <v>1161</v>
      </c>
      <c r="B1232" t="s">
        <v>1654</v>
      </c>
      <c r="C1232" s="1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  <c r="K1232" t="str">
        <f>TEXT(Table1[[#This Row],[PurchaseDate]],"mmm")</f>
        <v>Apr</v>
      </c>
      <c r="L1232">
        <f>YEAR(Table1[[#This Row],[PurchaseDate]])</f>
        <v>2024</v>
      </c>
      <c r="M1232" t="str">
        <f>IF(Table1[[#This Row],[TotalPrice]]&gt;2000,"High Sales","Low Sales")</f>
        <v>Low Sales</v>
      </c>
    </row>
    <row r="1233" spans="1:13" x14ac:dyDescent="0.3">
      <c r="A1233" t="s">
        <v>1162</v>
      </c>
      <c r="B1233" t="s">
        <v>1656</v>
      </c>
      <c r="C1233" s="1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  <c r="K1233" t="str">
        <f>TEXT(Table1[[#This Row],[PurchaseDate]],"mmm")</f>
        <v>Oct</v>
      </c>
      <c r="L1233">
        <f>YEAR(Table1[[#This Row],[PurchaseDate]])</f>
        <v>2024</v>
      </c>
      <c r="M1233" t="str">
        <f>IF(Table1[[#This Row],[TotalPrice]]&gt;2000,"High Sales","Low Sales")</f>
        <v>High Sales</v>
      </c>
    </row>
    <row r="1234" spans="1:13" x14ac:dyDescent="0.3">
      <c r="A1234" t="s">
        <v>1163</v>
      </c>
      <c r="B1234" t="s">
        <v>1652</v>
      </c>
      <c r="C1234" s="1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  <c r="K1234" t="str">
        <f>TEXT(Table1[[#This Row],[PurchaseDate]],"mmm")</f>
        <v>May</v>
      </c>
      <c r="L1234">
        <f>YEAR(Table1[[#This Row],[PurchaseDate]])</f>
        <v>2025</v>
      </c>
      <c r="M1234" t="str">
        <f>IF(Table1[[#This Row],[TotalPrice]]&gt;2000,"High Sales","Low Sales")</f>
        <v>Low Sales</v>
      </c>
    </row>
    <row r="1235" spans="1:13" x14ac:dyDescent="0.3">
      <c r="A1235" t="s">
        <v>1164</v>
      </c>
      <c r="B1235" t="s">
        <v>1657</v>
      </c>
      <c r="C1235" s="1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  <c r="K1235" t="str">
        <f>TEXT(Table1[[#This Row],[PurchaseDate]],"mmm")</f>
        <v>Jun</v>
      </c>
      <c r="L1235">
        <f>YEAR(Table1[[#This Row],[PurchaseDate]])</f>
        <v>2024</v>
      </c>
      <c r="M1235" t="str">
        <f>IF(Table1[[#This Row],[TotalPrice]]&gt;2000,"High Sales","Low Sales")</f>
        <v>Low Sales</v>
      </c>
    </row>
    <row r="1236" spans="1:13" x14ac:dyDescent="0.3">
      <c r="A1236" t="s">
        <v>1165</v>
      </c>
      <c r="B1236" t="s">
        <v>1658</v>
      </c>
      <c r="C1236" s="1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  <c r="K1236" t="str">
        <f>TEXT(Table1[[#This Row],[PurchaseDate]],"mmm")</f>
        <v>Mar</v>
      </c>
      <c r="L1236">
        <f>YEAR(Table1[[#This Row],[PurchaseDate]])</f>
        <v>2025</v>
      </c>
      <c r="M1236" t="str">
        <f>IF(Table1[[#This Row],[TotalPrice]]&gt;2000,"High Sales","Low Sales")</f>
        <v>High Sales</v>
      </c>
    </row>
    <row r="1237" spans="1:13" x14ac:dyDescent="0.3">
      <c r="A1237" t="s">
        <v>1166</v>
      </c>
      <c r="B1237" t="s">
        <v>1657</v>
      </c>
      <c r="C1237" s="1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  <c r="K1237" t="str">
        <f>TEXT(Table1[[#This Row],[PurchaseDate]],"mmm")</f>
        <v>Dec</v>
      </c>
      <c r="L1237">
        <f>YEAR(Table1[[#This Row],[PurchaseDate]])</f>
        <v>2024</v>
      </c>
      <c r="M1237" t="str">
        <f>IF(Table1[[#This Row],[TotalPrice]]&gt;2000,"High Sales","Low Sales")</f>
        <v>Low Sales</v>
      </c>
    </row>
    <row r="1238" spans="1:13" x14ac:dyDescent="0.3">
      <c r="A1238" t="s">
        <v>1167</v>
      </c>
      <c r="B1238" t="s">
        <v>1654</v>
      </c>
      <c r="C1238" s="1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  <c r="K1238" t="str">
        <f>TEXT(Table1[[#This Row],[PurchaseDate]],"mmm")</f>
        <v>Mar</v>
      </c>
      <c r="L1238">
        <f>YEAR(Table1[[#This Row],[PurchaseDate]])</f>
        <v>2025</v>
      </c>
      <c r="M1238" t="str">
        <f>IF(Table1[[#This Row],[TotalPrice]]&gt;2000,"High Sales","Low Sales")</f>
        <v>High Sales</v>
      </c>
    </row>
    <row r="1239" spans="1:13" x14ac:dyDescent="0.3">
      <c r="A1239" t="s">
        <v>1168</v>
      </c>
      <c r="B1239" t="s">
        <v>1652</v>
      </c>
      <c r="C1239" s="1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  <c r="K1239" t="str">
        <f>TEXT(Table1[[#This Row],[PurchaseDate]],"mmm")</f>
        <v>Dec</v>
      </c>
      <c r="L1239">
        <f>YEAR(Table1[[#This Row],[PurchaseDate]])</f>
        <v>2023</v>
      </c>
      <c r="M1239" t="str">
        <f>IF(Table1[[#This Row],[TotalPrice]]&gt;2000,"High Sales","Low Sales")</f>
        <v>Low Sales</v>
      </c>
    </row>
    <row r="1240" spans="1:13" x14ac:dyDescent="0.3">
      <c r="A1240" t="s">
        <v>1169</v>
      </c>
      <c r="B1240" t="s">
        <v>1654</v>
      </c>
      <c r="C1240" s="1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  <c r="K1240" t="str">
        <f>TEXT(Table1[[#This Row],[PurchaseDate]],"mmm")</f>
        <v>Jan</v>
      </c>
      <c r="L1240">
        <f>YEAR(Table1[[#This Row],[PurchaseDate]])</f>
        <v>2023</v>
      </c>
      <c r="M1240" t="str">
        <f>IF(Table1[[#This Row],[TotalPrice]]&gt;2000,"High Sales","Low Sales")</f>
        <v>Low Sales</v>
      </c>
    </row>
    <row r="1241" spans="1:13" x14ac:dyDescent="0.3">
      <c r="A1241" t="s">
        <v>1170</v>
      </c>
      <c r="B1241" t="s">
        <v>1654</v>
      </c>
      <c r="C1241" s="1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  <c r="K1241" t="str">
        <f>TEXT(Table1[[#This Row],[PurchaseDate]],"mmm")</f>
        <v>Mar</v>
      </c>
      <c r="L1241">
        <f>YEAR(Table1[[#This Row],[PurchaseDate]])</f>
        <v>2023</v>
      </c>
      <c r="M1241" t="str">
        <f>IF(Table1[[#This Row],[TotalPrice]]&gt;2000,"High Sales","Low Sales")</f>
        <v>High Sales</v>
      </c>
    </row>
    <row r="1242" spans="1:13" x14ac:dyDescent="0.3">
      <c r="A1242" t="s">
        <v>1171</v>
      </c>
      <c r="B1242" t="s">
        <v>1653</v>
      </c>
      <c r="C1242" s="1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  <c r="K1242" t="str">
        <f>TEXT(Table1[[#This Row],[PurchaseDate]],"mmm")</f>
        <v>Jan</v>
      </c>
      <c r="L1242">
        <f>YEAR(Table1[[#This Row],[PurchaseDate]])</f>
        <v>2025</v>
      </c>
      <c r="M1242" t="str">
        <f>IF(Table1[[#This Row],[TotalPrice]]&gt;2000,"High Sales","Low Sales")</f>
        <v>Low Sales</v>
      </c>
    </row>
    <row r="1243" spans="1:13" x14ac:dyDescent="0.3">
      <c r="A1243" t="s">
        <v>1172</v>
      </c>
      <c r="B1243" t="s">
        <v>1658</v>
      </c>
      <c r="C1243" s="1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  <c r="K1243" t="str">
        <f>TEXT(Table1[[#This Row],[PurchaseDate]],"mmm")</f>
        <v>Feb</v>
      </c>
      <c r="L1243">
        <f>YEAR(Table1[[#This Row],[PurchaseDate]])</f>
        <v>2023</v>
      </c>
      <c r="M1243" t="str">
        <f>IF(Table1[[#This Row],[TotalPrice]]&gt;2000,"High Sales","Low Sales")</f>
        <v>High Sales</v>
      </c>
    </row>
    <row r="1244" spans="1:13" x14ac:dyDescent="0.3">
      <c r="A1244" t="s">
        <v>1173</v>
      </c>
      <c r="B1244" t="s">
        <v>1653</v>
      </c>
      <c r="C1244" s="1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  <c r="K1244" t="str">
        <f>TEXT(Table1[[#This Row],[PurchaseDate]],"mmm")</f>
        <v>Nov</v>
      </c>
      <c r="L1244">
        <f>YEAR(Table1[[#This Row],[PurchaseDate]])</f>
        <v>2023</v>
      </c>
      <c r="M1244" t="str">
        <f>IF(Table1[[#This Row],[TotalPrice]]&gt;2000,"High Sales","Low Sales")</f>
        <v>Low Sales</v>
      </c>
    </row>
    <row r="1245" spans="1:13" x14ac:dyDescent="0.3">
      <c r="A1245" t="s">
        <v>1174</v>
      </c>
      <c r="B1245" t="s">
        <v>1657</v>
      </c>
      <c r="C1245" s="1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  <c r="K1245" t="str">
        <f>TEXT(Table1[[#This Row],[PurchaseDate]],"mmm")</f>
        <v>Oct</v>
      </c>
      <c r="L1245">
        <f>YEAR(Table1[[#This Row],[PurchaseDate]])</f>
        <v>2024</v>
      </c>
      <c r="M1245" t="str">
        <f>IF(Table1[[#This Row],[TotalPrice]]&gt;2000,"High Sales","Low Sales")</f>
        <v>Low Sales</v>
      </c>
    </row>
    <row r="1246" spans="1:13" x14ac:dyDescent="0.3">
      <c r="A1246" t="s">
        <v>1175</v>
      </c>
      <c r="B1246" t="s">
        <v>1658</v>
      </c>
      <c r="C1246" s="1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  <c r="K1246" t="str">
        <f>TEXT(Table1[[#This Row],[PurchaseDate]],"mmm")</f>
        <v>Jan</v>
      </c>
      <c r="L1246">
        <f>YEAR(Table1[[#This Row],[PurchaseDate]])</f>
        <v>2024</v>
      </c>
      <c r="M1246" t="str">
        <f>IF(Table1[[#This Row],[TotalPrice]]&gt;2000,"High Sales","Low Sales")</f>
        <v>High Sales</v>
      </c>
    </row>
    <row r="1247" spans="1:13" x14ac:dyDescent="0.3">
      <c r="A1247" t="s">
        <v>931</v>
      </c>
      <c r="B1247" t="s">
        <v>1653</v>
      </c>
      <c r="C1247" s="1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  <c r="K1247" t="str">
        <f>TEXT(Table1[[#This Row],[PurchaseDate]],"mmm")</f>
        <v>May</v>
      </c>
      <c r="L1247">
        <f>YEAR(Table1[[#This Row],[PurchaseDate]])</f>
        <v>2023</v>
      </c>
      <c r="M1247" t="str">
        <f>IF(Table1[[#This Row],[TotalPrice]]&gt;2000,"High Sales","Low Sales")</f>
        <v>High Sales</v>
      </c>
    </row>
    <row r="1248" spans="1:13" x14ac:dyDescent="0.3">
      <c r="A1248" t="s">
        <v>1176</v>
      </c>
      <c r="B1248" t="s">
        <v>1655</v>
      </c>
      <c r="C1248" s="1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  <c r="K1248" t="str">
        <f>TEXT(Table1[[#This Row],[PurchaseDate]],"mmm")</f>
        <v>Feb</v>
      </c>
      <c r="L1248">
        <f>YEAR(Table1[[#This Row],[PurchaseDate]])</f>
        <v>2025</v>
      </c>
      <c r="M1248" t="str">
        <f>IF(Table1[[#This Row],[TotalPrice]]&gt;2000,"High Sales","Low Sales")</f>
        <v>High Sales</v>
      </c>
    </row>
    <row r="1249" spans="1:13" x14ac:dyDescent="0.3">
      <c r="A1249" t="s">
        <v>1177</v>
      </c>
      <c r="B1249" t="s">
        <v>1658</v>
      </c>
      <c r="C1249" s="1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  <c r="K1249" t="str">
        <f>TEXT(Table1[[#This Row],[PurchaseDate]],"mmm")</f>
        <v>Oct</v>
      </c>
      <c r="L1249">
        <f>YEAR(Table1[[#This Row],[PurchaseDate]])</f>
        <v>2023</v>
      </c>
      <c r="M1249" t="str">
        <f>IF(Table1[[#This Row],[TotalPrice]]&gt;2000,"High Sales","Low Sales")</f>
        <v>High Sales</v>
      </c>
    </row>
    <row r="1250" spans="1:13" x14ac:dyDescent="0.3">
      <c r="A1250" t="s">
        <v>1178</v>
      </c>
      <c r="B1250" t="s">
        <v>1657</v>
      </c>
      <c r="C1250" s="1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  <c r="K1250" t="str">
        <f>TEXT(Table1[[#This Row],[PurchaseDate]],"mmm")</f>
        <v>Jun</v>
      </c>
      <c r="L1250">
        <f>YEAR(Table1[[#This Row],[PurchaseDate]])</f>
        <v>2025</v>
      </c>
      <c r="M1250" t="str">
        <f>IF(Table1[[#This Row],[TotalPrice]]&gt;2000,"High Sales","Low Sales")</f>
        <v>Low Sales</v>
      </c>
    </row>
    <row r="1251" spans="1:13" x14ac:dyDescent="0.3">
      <c r="A1251" t="s">
        <v>1179</v>
      </c>
      <c r="B1251" t="s">
        <v>1654</v>
      </c>
      <c r="C1251" s="1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  <c r="K1251" t="str">
        <f>TEXT(Table1[[#This Row],[PurchaseDate]],"mmm")</f>
        <v>Jul</v>
      </c>
      <c r="L1251">
        <f>YEAR(Table1[[#This Row],[PurchaseDate]])</f>
        <v>2024</v>
      </c>
      <c r="M1251" t="str">
        <f>IF(Table1[[#This Row],[TotalPrice]]&gt;2000,"High Sales","Low Sales")</f>
        <v>Low Sales</v>
      </c>
    </row>
    <row r="1252" spans="1:13" x14ac:dyDescent="0.3">
      <c r="A1252" t="s">
        <v>1180</v>
      </c>
      <c r="B1252" t="s">
        <v>1652</v>
      </c>
      <c r="C1252" s="1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  <c r="K1252" t="str">
        <f>TEXT(Table1[[#This Row],[PurchaseDate]],"mmm")</f>
        <v>Jun</v>
      </c>
      <c r="L1252">
        <f>YEAR(Table1[[#This Row],[PurchaseDate]])</f>
        <v>2024</v>
      </c>
      <c r="M1252" t="str">
        <f>IF(Table1[[#This Row],[TotalPrice]]&gt;2000,"High Sales","Low Sales")</f>
        <v>High Sales</v>
      </c>
    </row>
    <row r="1253" spans="1:13" x14ac:dyDescent="0.3">
      <c r="A1253" t="s">
        <v>1181</v>
      </c>
      <c r="B1253" t="s">
        <v>1658</v>
      </c>
      <c r="C1253" s="1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  <c r="K1253" t="str">
        <f>TEXT(Table1[[#This Row],[PurchaseDate]],"mmm")</f>
        <v>May</v>
      </c>
      <c r="L1253">
        <f>YEAR(Table1[[#This Row],[PurchaseDate]])</f>
        <v>2024</v>
      </c>
      <c r="M1253" t="str">
        <f>IF(Table1[[#This Row],[TotalPrice]]&gt;2000,"High Sales","Low Sales")</f>
        <v>High Sales</v>
      </c>
    </row>
    <row r="1254" spans="1:13" x14ac:dyDescent="0.3">
      <c r="A1254" t="s">
        <v>1182</v>
      </c>
      <c r="B1254" t="s">
        <v>1657</v>
      </c>
      <c r="C1254" s="1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  <c r="K1254" t="str">
        <f>TEXT(Table1[[#This Row],[PurchaseDate]],"mmm")</f>
        <v>Jul</v>
      </c>
      <c r="L1254">
        <f>YEAR(Table1[[#This Row],[PurchaseDate]])</f>
        <v>2023</v>
      </c>
      <c r="M1254" t="str">
        <f>IF(Table1[[#This Row],[TotalPrice]]&gt;2000,"High Sales","Low Sales")</f>
        <v>High Sales</v>
      </c>
    </row>
    <row r="1255" spans="1:13" x14ac:dyDescent="0.3">
      <c r="A1255" t="s">
        <v>1183</v>
      </c>
      <c r="B1255" t="s">
        <v>1656</v>
      </c>
      <c r="C1255" s="1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  <c r="K1255" t="str">
        <f>TEXT(Table1[[#This Row],[PurchaseDate]],"mmm")</f>
        <v>Aug</v>
      </c>
      <c r="L1255">
        <f>YEAR(Table1[[#This Row],[PurchaseDate]])</f>
        <v>2024</v>
      </c>
      <c r="M1255" t="str">
        <f>IF(Table1[[#This Row],[TotalPrice]]&gt;2000,"High Sales","Low Sales")</f>
        <v>Low Sales</v>
      </c>
    </row>
    <row r="1256" spans="1:13" x14ac:dyDescent="0.3">
      <c r="A1256" t="s">
        <v>1184</v>
      </c>
      <c r="B1256" t="s">
        <v>1653</v>
      </c>
      <c r="C1256" s="1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  <c r="K1256" t="str">
        <f>TEXT(Table1[[#This Row],[PurchaseDate]],"mmm")</f>
        <v>Jul</v>
      </c>
      <c r="L1256">
        <f>YEAR(Table1[[#This Row],[PurchaseDate]])</f>
        <v>2023</v>
      </c>
      <c r="M1256" t="str">
        <f>IF(Table1[[#This Row],[TotalPrice]]&gt;2000,"High Sales","Low Sales")</f>
        <v>Low Sales</v>
      </c>
    </row>
    <row r="1257" spans="1:13" x14ac:dyDescent="0.3">
      <c r="A1257" t="s">
        <v>1185</v>
      </c>
      <c r="B1257" t="s">
        <v>1656</v>
      </c>
      <c r="C1257" s="1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  <c r="K1257" t="str">
        <f>TEXT(Table1[[#This Row],[PurchaseDate]],"mmm")</f>
        <v>Apr</v>
      </c>
      <c r="L1257">
        <f>YEAR(Table1[[#This Row],[PurchaseDate]])</f>
        <v>2024</v>
      </c>
      <c r="M1257" t="str">
        <f>IF(Table1[[#This Row],[TotalPrice]]&gt;2000,"High Sales","Low Sales")</f>
        <v>Low Sales</v>
      </c>
    </row>
    <row r="1258" spans="1:13" x14ac:dyDescent="0.3">
      <c r="A1258" t="s">
        <v>1186</v>
      </c>
      <c r="B1258" t="s">
        <v>1654</v>
      </c>
      <c r="C1258" s="1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  <c r="K1258" t="str">
        <f>TEXT(Table1[[#This Row],[PurchaseDate]],"mmm")</f>
        <v>Feb</v>
      </c>
      <c r="L1258">
        <f>YEAR(Table1[[#This Row],[PurchaseDate]])</f>
        <v>2024</v>
      </c>
      <c r="M1258" t="str">
        <f>IF(Table1[[#This Row],[TotalPrice]]&gt;2000,"High Sales","Low Sales")</f>
        <v>Low Sales</v>
      </c>
    </row>
    <row r="1259" spans="1:13" x14ac:dyDescent="0.3">
      <c r="A1259" t="s">
        <v>1187</v>
      </c>
      <c r="B1259" t="s">
        <v>1657</v>
      </c>
      <c r="C1259" s="1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  <c r="K1259" t="str">
        <f>TEXT(Table1[[#This Row],[PurchaseDate]],"mmm")</f>
        <v>Dec</v>
      </c>
      <c r="L1259">
        <f>YEAR(Table1[[#This Row],[PurchaseDate]])</f>
        <v>2024</v>
      </c>
      <c r="M1259" t="str">
        <f>IF(Table1[[#This Row],[TotalPrice]]&gt;2000,"High Sales","Low Sales")</f>
        <v>Low Sales</v>
      </c>
    </row>
    <row r="1260" spans="1:13" x14ac:dyDescent="0.3">
      <c r="A1260" t="s">
        <v>1188</v>
      </c>
      <c r="B1260" t="s">
        <v>1652</v>
      </c>
      <c r="C1260" s="1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  <c r="K1260" t="str">
        <f>TEXT(Table1[[#This Row],[PurchaseDate]],"mmm")</f>
        <v>Jan</v>
      </c>
      <c r="L1260">
        <f>YEAR(Table1[[#This Row],[PurchaseDate]])</f>
        <v>2025</v>
      </c>
      <c r="M1260" t="str">
        <f>IF(Table1[[#This Row],[TotalPrice]]&gt;2000,"High Sales","Low Sales")</f>
        <v>Low Sales</v>
      </c>
    </row>
    <row r="1261" spans="1:13" x14ac:dyDescent="0.3">
      <c r="A1261" t="s">
        <v>568</v>
      </c>
      <c r="B1261" t="s">
        <v>1657</v>
      </c>
      <c r="C1261" s="1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  <c r="K1261" t="str">
        <f>TEXT(Table1[[#This Row],[PurchaseDate]],"mmm")</f>
        <v>Apr</v>
      </c>
      <c r="L1261">
        <f>YEAR(Table1[[#This Row],[PurchaseDate]])</f>
        <v>2025</v>
      </c>
      <c r="M1261" t="str">
        <f>IF(Table1[[#This Row],[TotalPrice]]&gt;2000,"High Sales","Low Sales")</f>
        <v>High Sales</v>
      </c>
    </row>
    <row r="1262" spans="1:13" x14ac:dyDescent="0.3">
      <c r="A1262" t="s">
        <v>1189</v>
      </c>
      <c r="B1262" t="s">
        <v>1655</v>
      </c>
      <c r="C1262" s="1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  <c r="K1262" t="str">
        <f>TEXT(Table1[[#This Row],[PurchaseDate]],"mmm")</f>
        <v>Jun</v>
      </c>
      <c r="L1262">
        <f>YEAR(Table1[[#This Row],[PurchaseDate]])</f>
        <v>2023</v>
      </c>
      <c r="M1262" t="str">
        <f>IF(Table1[[#This Row],[TotalPrice]]&gt;2000,"High Sales","Low Sales")</f>
        <v>High Sales</v>
      </c>
    </row>
    <row r="1263" spans="1:13" x14ac:dyDescent="0.3">
      <c r="A1263" t="s">
        <v>1190</v>
      </c>
      <c r="B1263" t="s">
        <v>1655</v>
      </c>
      <c r="C1263" s="1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  <c r="K1263" t="str">
        <f>TEXT(Table1[[#This Row],[PurchaseDate]],"mmm")</f>
        <v>Aug</v>
      </c>
      <c r="L1263">
        <f>YEAR(Table1[[#This Row],[PurchaseDate]])</f>
        <v>2024</v>
      </c>
      <c r="M1263" t="str">
        <f>IF(Table1[[#This Row],[TotalPrice]]&gt;2000,"High Sales","Low Sales")</f>
        <v>High Sales</v>
      </c>
    </row>
    <row r="1264" spans="1:13" x14ac:dyDescent="0.3">
      <c r="A1264" t="s">
        <v>1191</v>
      </c>
      <c r="B1264" t="s">
        <v>1658</v>
      </c>
      <c r="C1264" s="1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  <c r="K1264" t="str">
        <f>TEXT(Table1[[#This Row],[PurchaseDate]],"mmm")</f>
        <v>Nov</v>
      </c>
      <c r="L1264">
        <f>YEAR(Table1[[#This Row],[PurchaseDate]])</f>
        <v>2024</v>
      </c>
      <c r="M1264" t="str">
        <f>IF(Table1[[#This Row],[TotalPrice]]&gt;2000,"High Sales","Low Sales")</f>
        <v>Low Sales</v>
      </c>
    </row>
    <row r="1265" spans="1:13" x14ac:dyDescent="0.3">
      <c r="A1265" t="s">
        <v>1192</v>
      </c>
      <c r="B1265" t="s">
        <v>1657</v>
      </c>
      <c r="C1265" s="1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  <c r="K1265" t="str">
        <f>TEXT(Table1[[#This Row],[PurchaseDate]],"mmm")</f>
        <v>Dec</v>
      </c>
      <c r="L1265">
        <f>YEAR(Table1[[#This Row],[PurchaseDate]])</f>
        <v>2023</v>
      </c>
      <c r="M1265" t="str">
        <f>IF(Table1[[#This Row],[TotalPrice]]&gt;2000,"High Sales","Low Sales")</f>
        <v>Low Sales</v>
      </c>
    </row>
    <row r="1266" spans="1:13" x14ac:dyDescent="0.3">
      <c r="A1266" t="s">
        <v>1193</v>
      </c>
      <c r="B1266" t="s">
        <v>1658</v>
      </c>
      <c r="C1266" s="1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  <c r="K1266" t="str">
        <f>TEXT(Table1[[#This Row],[PurchaseDate]],"mmm")</f>
        <v>Apr</v>
      </c>
      <c r="L1266">
        <f>YEAR(Table1[[#This Row],[PurchaseDate]])</f>
        <v>2024</v>
      </c>
      <c r="M1266" t="str">
        <f>IF(Table1[[#This Row],[TotalPrice]]&gt;2000,"High Sales","Low Sales")</f>
        <v>Low Sales</v>
      </c>
    </row>
    <row r="1267" spans="1:13" x14ac:dyDescent="0.3">
      <c r="A1267" t="s">
        <v>1194</v>
      </c>
      <c r="B1267" t="s">
        <v>1657</v>
      </c>
      <c r="C1267" s="1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  <c r="K1267" t="str">
        <f>TEXT(Table1[[#This Row],[PurchaseDate]],"mmm")</f>
        <v>Sep</v>
      </c>
      <c r="L1267">
        <f>YEAR(Table1[[#This Row],[PurchaseDate]])</f>
        <v>2023</v>
      </c>
      <c r="M1267" t="str">
        <f>IF(Table1[[#This Row],[TotalPrice]]&gt;2000,"High Sales","Low Sales")</f>
        <v>Low Sales</v>
      </c>
    </row>
    <row r="1268" spans="1:13" x14ac:dyDescent="0.3">
      <c r="A1268" t="s">
        <v>1195</v>
      </c>
      <c r="B1268" t="s">
        <v>1656</v>
      </c>
      <c r="C1268" s="1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  <c r="K1268" t="str">
        <f>TEXT(Table1[[#This Row],[PurchaseDate]],"mmm")</f>
        <v>Aug</v>
      </c>
      <c r="L1268">
        <f>YEAR(Table1[[#This Row],[PurchaseDate]])</f>
        <v>2023</v>
      </c>
      <c r="M1268" t="str">
        <f>IF(Table1[[#This Row],[TotalPrice]]&gt;2000,"High Sales","Low Sales")</f>
        <v>Low Sales</v>
      </c>
    </row>
    <row r="1269" spans="1:13" x14ac:dyDescent="0.3">
      <c r="A1269" t="s">
        <v>345</v>
      </c>
      <c r="B1269" t="s">
        <v>1653</v>
      </c>
      <c r="C1269" s="1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  <c r="K1269" t="str">
        <f>TEXT(Table1[[#This Row],[PurchaseDate]],"mmm")</f>
        <v>Jan</v>
      </c>
      <c r="L1269">
        <f>YEAR(Table1[[#This Row],[PurchaseDate]])</f>
        <v>2024</v>
      </c>
      <c r="M1269" t="str">
        <f>IF(Table1[[#This Row],[TotalPrice]]&gt;2000,"High Sales","Low Sales")</f>
        <v>High Sales</v>
      </c>
    </row>
    <row r="1270" spans="1:13" x14ac:dyDescent="0.3">
      <c r="A1270" t="s">
        <v>1196</v>
      </c>
      <c r="B1270" t="s">
        <v>1658</v>
      </c>
      <c r="C1270" s="1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  <c r="K1270" t="str">
        <f>TEXT(Table1[[#This Row],[PurchaseDate]],"mmm")</f>
        <v>Feb</v>
      </c>
      <c r="L1270">
        <f>YEAR(Table1[[#This Row],[PurchaseDate]])</f>
        <v>2023</v>
      </c>
      <c r="M1270" t="str">
        <f>IF(Table1[[#This Row],[TotalPrice]]&gt;2000,"High Sales","Low Sales")</f>
        <v>Low Sales</v>
      </c>
    </row>
    <row r="1271" spans="1:13" x14ac:dyDescent="0.3">
      <c r="A1271" t="s">
        <v>1197</v>
      </c>
      <c r="B1271" t="s">
        <v>1653</v>
      </c>
      <c r="C1271" s="1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  <c r="K1271" t="str">
        <f>TEXT(Table1[[#This Row],[PurchaseDate]],"mmm")</f>
        <v>Jul</v>
      </c>
      <c r="L1271">
        <f>YEAR(Table1[[#This Row],[PurchaseDate]])</f>
        <v>2024</v>
      </c>
      <c r="M1271" t="str">
        <f>IF(Table1[[#This Row],[TotalPrice]]&gt;2000,"High Sales","Low Sales")</f>
        <v>High Sales</v>
      </c>
    </row>
    <row r="1272" spans="1:13" x14ac:dyDescent="0.3">
      <c r="A1272" t="s">
        <v>1198</v>
      </c>
      <c r="B1272" t="s">
        <v>1658</v>
      </c>
      <c r="C1272" s="1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  <c r="K1272" t="str">
        <f>TEXT(Table1[[#This Row],[PurchaseDate]],"mmm")</f>
        <v>Jan</v>
      </c>
      <c r="L1272">
        <f>YEAR(Table1[[#This Row],[PurchaseDate]])</f>
        <v>2024</v>
      </c>
      <c r="M1272" t="str">
        <f>IF(Table1[[#This Row],[TotalPrice]]&gt;2000,"High Sales","Low Sales")</f>
        <v>Low Sales</v>
      </c>
    </row>
    <row r="1273" spans="1:13" x14ac:dyDescent="0.3">
      <c r="A1273" t="s">
        <v>1199</v>
      </c>
      <c r="B1273" t="s">
        <v>1653</v>
      </c>
      <c r="C1273" s="1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  <c r="K1273" t="str">
        <f>TEXT(Table1[[#This Row],[PurchaseDate]],"mmm")</f>
        <v>Apr</v>
      </c>
      <c r="L1273">
        <f>YEAR(Table1[[#This Row],[PurchaseDate]])</f>
        <v>2025</v>
      </c>
      <c r="M1273" t="str">
        <f>IF(Table1[[#This Row],[TotalPrice]]&gt;2000,"High Sales","Low Sales")</f>
        <v>Low Sales</v>
      </c>
    </row>
    <row r="1274" spans="1:13" x14ac:dyDescent="0.3">
      <c r="A1274" t="s">
        <v>1200</v>
      </c>
      <c r="B1274" t="s">
        <v>1654</v>
      </c>
      <c r="C1274" s="1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  <c r="K1274" t="str">
        <f>TEXT(Table1[[#This Row],[PurchaseDate]],"mmm")</f>
        <v>Mar</v>
      </c>
      <c r="L1274">
        <f>YEAR(Table1[[#This Row],[PurchaseDate]])</f>
        <v>2025</v>
      </c>
      <c r="M1274" t="str">
        <f>IF(Table1[[#This Row],[TotalPrice]]&gt;2000,"High Sales","Low Sales")</f>
        <v>High Sales</v>
      </c>
    </row>
    <row r="1275" spans="1:13" x14ac:dyDescent="0.3">
      <c r="A1275" t="s">
        <v>1201</v>
      </c>
      <c r="B1275" t="s">
        <v>1654</v>
      </c>
      <c r="C1275" s="1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  <c r="K1275" t="str">
        <f>TEXT(Table1[[#This Row],[PurchaseDate]],"mmm")</f>
        <v>May</v>
      </c>
      <c r="L1275">
        <f>YEAR(Table1[[#This Row],[PurchaseDate]])</f>
        <v>2024</v>
      </c>
      <c r="M1275" t="str">
        <f>IF(Table1[[#This Row],[TotalPrice]]&gt;2000,"High Sales","Low Sales")</f>
        <v>Low Sales</v>
      </c>
    </row>
    <row r="1276" spans="1:13" x14ac:dyDescent="0.3">
      <c r="A1276" t="s">
        <v>1202</v>
      </c>
      <c r="B1276" t="s">
        <v>1655</v>
      </c>
      <c r="C1276" s="1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  <c r="K1276" t="str">
        <f>TEXT(Table1[[#This Row],[PurchaseDate]],"mmm")</f>
        <v>May</v>
      </c>
      <c r="L1276">
        <f>YEAR(Table1[[#This Row],[PurchaseDate]])</f>
        <v>2025</v>
      </c>
      <c r="M1276" t="str">
        <f>IF(Table1[[#This Row],[TotalPrice]]&gt;2000,"High Sales","Low Sales")</f>
        <v>High Sales</v>
      </c>
    </row>
    <row r="1277" spans="1:13" x14ac:dyDescent="0.3">
      <c r="A1277" t="s">
        <v>1203</v>
      </c>
      <c r="B1277" t="s">
        <v>1655</v>
      </c>
      <c r="C1277" s="1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  <c r="K1277" t="str">
        <f>TEXT(Table1[[#This Row],[PurchaseDate]],"mmm")</f>
        <v>Mar</v>
      </c>
      <c r="L1277">
        <f>YEAR(Table1[[#This Row],[PurchaseDate]])</f>
        <v>2024</v>
      </c>
      <c r="M1277" t="str">
        <f>IF(Table1[[#This Row],[TotalPrice]]&gt;2000,"High Sales","Low Sales")</f>
        <v>Low Sales</v>
      </c>
    </row>
    <row r="1278" spans="1:13" x14ac:dyDescent="0.3">
      <c r="A1278" t="s">
        <v>1204</v>
      </c>
      <c r="B1278" t="s">
        <v>1653</v>
      </c>
      <c r="C1278" s="1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  <c r="K1278" t="str">
        <f>TEXT(Table1[[#This Row],[PurchaseDate]],"mmm")</f>
        <v>Oct</v>
      </c>
      <c r="L1278">
        <f>YEAR(Table1[[#This Row],[PurchaseDate]])</f>
        <v>2023</v>
      </c>
      <c r="M1278" t="str">
        <f>IF(Table1[[#This Row],[TotalPrice]]&gt;2000,"High Sales","Low Sales")</f>
        <v>Low Sales</v>
      </c>
    </row>
    <row r="1279" spans="1:13" x14ac:dyDescent="0.3">
      <c r="A1279" t="s">
        <v>1205</v>
      </c>
      <c r="B1279" t="s">
        <v>1655</v>
      </c>
      <c r="C1279" s="1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  <c r="K1279" t="str">
        <f>TEXT(Table1[[#This Row],[PurchaseDate]],"mmm")</f>
        <v>Jul</v>
      </c>
      <c r="L1279">
        <f>YEAR(Table1[[#This Row],[PurchaseDate]])</f>
        <v>2023</v>
      </c>
      <c r="M1279" t="str">
        <f>IF(Table1[[#This Row],[TotalPrice]]&gt;2000,"High Sales","Low Sales")</f>
        <v>Low Sales</v>
      </c>
    </row>
    <row r="1280" spans="1:13" x14ac:dyDescent="0.3">
      <c r="A1280" t="s">
        <v>1206</v>
      </c>
      <c r="B1280" t="s">
        <v>1655</v>
      </c>
      <c r="C1280" s="1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  <c r="K1280" t="str">
        <f>TEXT(Table1[[#This Row],[PurchaseDate]],"mmm")</f>
        <v>Mar</v>
      </c>
      <c r="L1280">
        <f>YEAR(Table1[[#This Row],[PurchaseDate]])</f>
        <v>2023</v>
      </c>
      <c r="M1280" t="str">
        <f>IF(Table1[[#This Row],[TotalPrice]]&gt;2000,"High Sales","Low Sales")</f>
        <v>High Sales</v>
      </c>
    </row>
    <row r="1281" spans="1:13" x14ac:dyDescent="0.3">
      <c r="A1281" t="s">
        <v>1207</v>
      </c>
      <c r="B1281" t="s">
        <v>1653</v>
      </c>
      <c r="C1281" s="1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  <c r="K1281" t="str">
        <f>TEXT(Table1[[#This Row],[PurchaseDate]],"mmm")</f>
        <v>Feb</v>
      </c>
      <c r="L1281">
        <f>YEAR(Table1[[#This Row],[PurchaseDate]])</f>
        <v>2023</v>
      </c>
      <c r="M1281" t="str">
        <f>IF(Table1[[#This Row],[TotalPrice]]&gt;2000,"High Sales","Low Sales")</f>
        <v>Low Sales</v>
      </c>
    </row>
    <row r="1282" spans="1:13" x14ac:dyDescent="0.3">
      <c r="A1282" t="s">
        <v>1208</v>
      </c>
      <c r="B1282" t="s">
        <v>1658</v>
      </c>
      <c r="C1282" s="1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  <c r="K1282" t="str">
        <f>TEXT(Table1[[#This Row],[PurchaseDate]],"mmm")</f>
        <v>Jun</v>
      </c>
      <c r="L1282">
        <f>YEAR(Table1[[#This Row],[PurchaseDate]])</f>
        <v>2023</v>
      </c>
      <c r="M1282" t="str">
        <f>IF(Table1[[#This Row],[TotalPrice]]&gt;2000,"High Sales","Low Sales")</f>
        <v>High Sales</v>
      </c>
    </row>
    <row r="1283" spans="1:13" x14ac:dyDescent="0.3">
      <c r="A1283" t="s">
        <v>1209</v>
      </c>
      <c r="B1283" t="s">
        <v>1653</v>
      </c>
      <c r="C1283" s="1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  <c r="K1283" t="str">
        <f>TEXT(Table1[[#This Row],[PurchaseDate]],"mmm")</f>
        <v>Oct</v>
      </c>
      <c r="L1283">
        <f>YEAR(Table1[[#This Row],[PurchaseDate]])</f>
        <v>2024</v>
      </c>
      <c r="M1283" t="str">
        <f>IF(Table1[[#This Row],[TotalPrice]]&gt;2000,"High Sales","Low Sales")</f>
        <v>Low Sales</v>
      </c>
    </row>
    <row r="1284" spans="1:13" x14ac:dyDescent="0.3">
      <c r="A1284" t="s">
        <v>1210</v>
      </c>
      <c r="B1284" t="s">
        <v>1657</v>
      </c>
      <c r="C1284" s="1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  <c r="K1284" t="str">
        <f>TEXT(Table1[[#This Row],[PurchaseDate]],"mmm")</f>
        <v>Nov</v>
      </c>
      <c r="L1284">
        <f>YEAR(Table1[[#This Row],[PurchaseDate]])</f>
        <v>2024</v>
      </c>
      <c r="M1284" t="str">
        <f>IF(Table1[[#This Row],[TotalPrice]]&gt;2000,"High Sales","Low Sales")</f>
        <v>High Sales</v>
      </c>
    </row>
    <row r="1285" spans="1:13" x14ac:dyDescent="0.3">
      <c r="A1285" t="s">
        <v>1211</v>
      </c>
      <c r="B1285" t="s">
        <v>1653</v>
      </c>
      <c r="C1285" s="1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  <c r="K1285" t="str">
        <f>TEXT(Table1[[#This Row],[PurchaseDate]],"mmm")</f>
        <v>Jan</v>
      </c>
      <c r="L1285">
        <f>YEAR(Table1[[#This Row],[PurchaseDate]])</f>
        <v>2025</v>
      </c>
      <c r="M1285" t="str">
        <f>IF(Table1[[#This Row],[TotalPrice]]&gt;2000,"High Sales","Low Sales")</f>
        <v>Low Sales</v>
      </c>
    </row>
    <row r="1286" spans="1:13" x14ac:dyDescent="0.3">
      <c r="A1286" t="s">
        <v>1212</v>
      </c>
      <c r="B1286" t="s">
        <v>1653</v>
      </c>
      <c r="C1286" s="1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  <c r="K1286" t="str">
        <f>TEXT(Table1[[#This Row],[PurchaseDate]],"mmm")</f>
        <v>May</v>
      </c>
      <c r="L1286">
        <f>YEAR(Table1[[#This Row],[PurchaseDate]])</f>
        <v>2023</v>
      </c>
      <c r="M1286" t="str">
        <f>IF(Table1[[#This Row],[TotalPrice]]&gt;2000,"High Sales","Low Sales")</f>
        <v>Low Sales</v>
      </c>
    </row>
    <row r="1287" spans="1:13" x14ac:dyDescent="0.3">
      <c r="A1287" t="s">
        <v>1213</v>
      </c>
      <c r="B1287" t="s">
        <v>1658</v>
      </c>
      <c r="C1287" s="1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  <c r="K1287" t="str">
        <f>TEXT(Table1[[#This Row],[PurchaseDate]],"mmm")</f>
        <v>Jul</v>
      </c>
      <c r="L1287">
        <f>YEAR(Table1[[#This Row],[PurchaseDate]])</f>
        <v>2023</v>
      </c>
      <c r="M1287" t="str">
        <f>IF(Table1[[#This Row],[TotalPrice]]&gt;2000,"High Sales","Low Sales")</f>
        <v>High Sales</v>
      </c>
    </row>
    <row r="1288" spans="1:13" x14ac:dyDescent="0.3">
      <c r="A1288" t="s">
        <v>1214</v>
      </c>
      <c r="B1288" t="s">
        <v>1658</v>
      </c>
      <c r="C1288" s="1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  <c r="K1288" t="str">
        <f>TEXT(Table1[[#This Row],[PurchaseDate]],"mmm")</f>
        <v>Jun</v>
      </c>
      <c r="L1288">
        <f>YEAR(Table1[[#This Row],[PurchaseDate]])</f>
        <v>2024</v>
      </c>
      <c r="M1288" t="str">
        <f>IF(Table1[[#This Row],[TotalPrice]]&gt;2000,"High Sales","Low Sales")</f>
        <v>High Sales</v>
      </c>
    </row>
    <row r="1289" spans="1:13" x14ac:dyDescent="0.3">
      <c r="A1289" t="s">
        <v>1215</v>
      </c>
      <c r="B1289" t="s">
        <v>1656</v>
      </c>
      <c r="C1289" s="1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  <c r="K1289" t="str">
        <f>TEXT(Table1[[#This Row],[PurchaseDate]],"mmm")</f>
        <v>Jan</v>
      </c>
      <c r="L1289">
        <f>YEAR(Table1[[#This Row],[PurchaseDate]])</f>
        <v>2025</v>
      </c>
      <c r="M1289" t="str">
        <f>IF(Table1[[#This Row],[TotalPrice]]&gt;2000,"High Sales","Low Sales")</f>
        <v>Low Sales</v>
      </c>
    </row>
    <row r="1290" spans="1:13" x14ac:dyDescent="0.3">
      <c r="A1290" t="s">
        <v>1216</v>
      </c>
      <c r="B1290" t="s">
        <v>1653</v>
      </c>
      <c r="C1290" s="1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  <c r="K1290" t="str">
        <f>TEXT(Table1[[#This Row],[PurchaseDate]],"mmm")</f>
        <v>Apr</v>
      </c>
      <c r="L1290">
        <f>YEAR(Table1[[#This Row],[PurchaseDate]])</f>
        <v>2024</v>
      </c>
      <c r="M1290" t="str">
        <f>IF(Table1[[#This Row],[TotalPrice]]&gt;2000,"High Sales","Low Sales")</f>
        <v>High Sales</v>
      </c>
    </row>
    <row r="1291" spans="1:13" x14ac:dyDescent="0.3">
      <c r="A1291" t="s">
        <v>1217</v>
      </c>
      <c r="B1291" t="s">
        <v>1656</v>
      </c>
      <c r="C1291" s="1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  <c r="K1291" t="str">
        <f>TEXT(Table1[[#This Row],[PurchaseDate]],"mmm")</f>
        <v>May</v>
      </c>
      <c r="L1291">
        <f>YEAR(Table1[[#This Row],[PurchaseDate]])</f>
        <v>2024</v>
      </c>
      <c r="M1291" t="str">
        <f>IF(Table1[[#This Row],[TotalPrice]]&gt;2000,"High Sales","Low Sales")</f>
        <v>High Sales</v>
      </c>
    </row>
    <row r="1292" spans="1:13" x14ac:dyDescent="0.3">
      <c r="A1292" t="s">
        <v>1218</v>
      </c>
      <c r="B1292" t="s">
        <v>1657</v>
      </c>
      <c r="C1292" s="1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  <c r="K1292" t="str">
        <f>TEXT(Table1[[#This Row],[PurchaseDate]],"mmm")</f>
        <v>May</v>
      </c>
      <c r="L1292">
        <f>YEAR(Table1[[#This Row],[PurchaseDate]])</f>
        <v>2025</v>
      </c>
      <c r="M1292" t="str">
        <f>IF(Table1[[#This Row],[TotalPrice]]&gt;2000,"High Sales","Low Sales")</f>
        <v>Low Sales</v>
      </c>
    </row>
    <row r="1293" spans="1:13" x14ac:dyDescent="0.3">
      <c r="A1293" t="s">
        <v>1219</v>
      </c>
      <c r="B1293" t="s">
        <v>1658</v>
      </c>
      <c r="C1293" s="1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  <c r="K1293" t="str">
        <f>TEXT(Table1[[#This Row],[PurchaseDate]],"mmm")</f>
        <v>May</v>
      </c>
      <c r="L1293">
        <f>YEAR(Table1[[#This Row],[PurchaseDate]])</f>
        <v>2024</v>
      </c>
      <c r="M1293" t="str">
        <f>IF(Table1[[#This Row],[TotalPrice]]&gt;2000,"High Sales","Low Sales")</f>
        <v>High Sales</v>
      </c>
    </row>
    <row r="1294" spans="1:13" x14ac:dyDescent="0.3">
      <c r="A1294" t="s">
        <v>895</v>
      </c>
      <c r="B1294" t="s">
        <v>1653</v>
      </c>
      <c r="C1294" s="1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  <c r="K1294" t="str">
        <f>TEXT(Table1[[#This Row],[PurchaseDate]],"mmm")</f>
        <v>Oct</v>
      </c>
      <c r="L1294">
        <f>YEAR(Table1[[#This Row],[PurchaseDate]])</f>
        <v>2024</v>
      </c>
      <c r="M1294" t="str">
        <f>IF(Table1[[#This Row],[TotalPrice]]&gt;2000,"High Sales","Low Sales")</f>
        <v>Low Sales</v>
      </c>
    </row>
    <row r="1295" spans="1:13" x14ac:dyDescent="0.3">
      <c r="A1295" t="s">
        <v>1108</v>
      </c>
      <c r="B1295" t="s">
        <v>1652</v>
      </c>
      <c r="C1295" s="1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  <c r="K1295" t="str">
        <f>TEXT(Table1[[#This Row],[PurchaseDate]],"mmm")</f>
        <v>May</v>
      </c>
      <c r="L1295">
        <f>YEAR(Table1[[#This Row],[PurchaseDate]])</f>
        <v>2025</v>
      </c>
      <c r="M1295" t="str">
        <f>IF(Table1[[#This Row],[TotalPrice]]&gt;2000,"High Sales","Low Sales")</f>
        <v>Low Sales</v>
      </c>
    </row>
    <row r="1296" spans="1:13" x14ac:dyDescent="0.3">
      <c r="A1296" t="s">
        <v>1220</v>
      </c>
      <c r="B1296" t="s">
        <v>1656</v>
      </c>
      <c r="C1296" s="1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  <c r="K1296" t="str">
        <f>TEXT(Table1[[#This Row],[PurchaseDate]],"mmm")</f>
        <v>Sep</v>
      </c>
      <c r="L1296">
        <f>YEAR(Table1[[#This Row],[PurchaseDate]])</f>
        <v>2023</v>
      </c>
      <c r="M1296" t="str">
        <f>IF(Table1[[#This Row],[TotalPrice]]&gt;2000,"High Sales","Low Sales")</f>
        <v>High Sales</v>
      </c>
    </row>
    <row r="1297" spans="1:13" x14ac:dyDescent="0.3">
      <c r="A1297" t="s">
        <v>1221</v>
      </c>
      <c r="B1297" t="s">
        <v>1656</v>
      </c>
      <c r="C1297" s="1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  <c r="K1297" t="str">
        <f>TEXT(Table1[[#This Row],[PurchaseDate]],"mmm")</f>
        <v>Jul</v>
      </c>
      <c r="L1297">
        <f>YEAR(Table1[[#This Row],[PurchaseDate]])</f>
        <v>2024</v>
      </c>
      <c r="M1297" t="str">
        <f>IF(Table1[[#This Row],[TotalPrice]]&gt;2000,"High Sales","Low Sales")</f>
        <v>Low Sales</v>
      </c>
    </row>
    <row r="1298" spans="1:13" x14ac:dyDescent="0.3">
      <c r="A1298" t="s">
        <v>1222</v>
      </c>
      <c r="B1298" t="s">
        <v>1653</v>
      </c>
      <c r="C1298" s="1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  <c r="K1298" t="str">
        <f>TEXT(Table1[[#This Row],[PurchaseDate]],"mmm")</f>
        <v>May</v>
      </c>
      <c r="L1298">
        <f>YEAR(Table1[[#This Row],[PurchaseDate]])</f>
        <v>2025</v>
      </c>
      <c r="M1298" t="str">
        <f>IF(Table1[[#This Row],[TotalPrice]]&gt;2000,"High Sales","Low Sales")</f>
        <v>High Sales</v>
      </c>
    </row>
    <row r="1299" spans="1:13" x14ac:dyDescent="0.3">
      <c r="A1299" t="s">
        <v>1223</v>
      </c>
      <c r="B1299" t="s">
        <v>1655</v>
      </c>
      <c r="C1299" s="1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  <c r="K1299" t="str">
        <f>TEXT(Table1[[#This Row],[PurchaseDate]],"mmm")</f>
        <v>Feb</v>
      </c>
      <c r="L1299">
        <f>YEAR(Table1[[#This Row],[PurchaseDate]])</f>
        <v>2025</v>
      </c>
      <c r="M1299" t="str">
        <f>IF(Table1[[#This Row],[TotalPrice]]&gt;2000,"High Sales","Low Sales")</f>
        <v>High Sales</v>
      </c>
    </row>
    <row r="1300" spans="1:13" x14ac:dyDescent="0.3">
      <c r="A1300" t="s">
        <v>1224</v>
      </c>
      <c r="B1300" t="s">
        <v>1652</v>
      </c>
      <c r="C1300" s="1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  <c r="K1300" t="str">
        <f>TEXT(Table1[[#This Row],[PurchaseDate]],"mmm")</f>
        <v>Jun</v>
      </c>
      <c r="L1300">
        <f>YEAR(Table1[[#This Row],[PurchaseDate]])</f>
        <v>2024</v>
      </c>
      <c r="M1300" t="str">
        <f>IF(Table1[[#This Row],[TotalPrice]]&gt;2000,"High Sales","Low Sales")</f>
        <v>Low Sales</v>
      </c>
    </row>
    <row r="1301" spans="1:13" x14ac:dyDescent="0.3">
      <c r="A1301" t="s">
        <v>1225</v>
      </c>
      <c r="B1301" t="s">
        <v>1656</v>
      </c>
      <c r="C1301" s="1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  <c r="K1301" t="str">
        <f>TEXT(Table1[[#This Row],[PurchaseDate]],"mmm")</f>
        <v>Oct</v>
      </c>
      <c r="L1301">
        <f>YEAR(Table1[[#This Row],[PurchaseDate]])</f>
        <v>2023</v>
      </c>
      <c r="M1301" t="str">
        <f>IF(Table1[[#This Row],[TotalPrice]]&gt;2000,"High Sales","Low Sales")</f>
        <v>Low Sales</v>
      </c>
    </row>
    <row r="1302" spans="1:13" x14ac:dyDescent="0.3">
      <c r="A1302" t="s">
        <v>1226</v>
      </c>
      <c r="B1302" t="s">
        <v>1652</v>
      </c>
      <c r="C1302" s="1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  <c r="K1302" t="str">
        <f>TEXT(Table1[[#This Row],[PurchaseDate]],"mmm")</f>
        <v>Jun</v>
      </c>
      <c r="L1302">
        <f>YEAR(Table1[[#This Row],[PurchaseDate]])</f>
        <v>2023</v>
      </c>
      <c r="M1302" t="str">
        <f>IF(Table1[[#This Row],[TotalPrice]]&gt;2000,"High Sales","Low Sales")</f>
        <v>Low Sales</v>
      </c>
    </row>
    <row r="1303" spans="1:13" x14ac:dyDescent="0.3">
      <c r="A1303" t="s">
        <v>1227</v>
      </c>
      <c r="B1303" t="s">
        <v>1658</v>
      </c>
      <c r="C1303" s="1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  <c r="K1303" t="str">
        <f>TEXT(Table1[[#This Row],[PurchaseDate]],"mmm")</f>
        <v>Apr</v>
      </c>
      <c r="L1303">
        <f>YEAR(Table1[[#This Row],[PurchaseDate]])</f>
        <v>2025</v>
      </c>
      <c r="M1303" t="str">
        <f>IF(Table1[[#This Row],[TotalPrice]]&gt;2000,"High Sales","Low Sales")</f>
        <v>High Sales</v>
      </c>
    </row>
    <row r="1304" spans="1:13" x14ac:dyDescent="0.3">
      <c r="A1304" t="s">
        <v>1228</v>
      </c>
      <c r="B1304" t="s">
        <v>1654</v>
      </c>
      <c r="C1304" s="1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  <c r="K1304" t="str">
        <f>TEXT(Table1[[#This Row],[PurchaseDate]],"mmm")</f>
        <v>Nov</v>
      </c>
      <c r="L1304">
        <f>YEAR(Table1[[#This Row],[PurchaseDate]])</f>
        <v>2023</v>
      </c>
      <c r="M1304" t="str">
        <f>IF(Table1[[#This Row],[TotalPrice]]&gt;2000,"High Sales","Low Sales")</f>
        <v>Low Sales</v>
      </c>
    </row>
    <row r="1305" spans="1:13" x14ac:dyDescent="0.3">
      <c r="A1305" t="s">
        <v>1229</v>
      </c>
      <c r="B1305" t="s">
        <v>1652</v>
      </c>
      <c r="C1305" s="1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  <c r="K1305" t="str">
        <f>TEXT(Table1[[#This Row],[PurchaseDate]],"mmm")</f>
        <v>Feb</v>
      </c>
      <c r="L1305">
        <f>YEAR(Table1[[#This Row],[PurchaseDate]])</f>
        <v>2024</v>
      </c>
      <c r="M1305" t="str">
        <f>IF(Table1[[#This Row],[TotalPrice]]&gt;2000,"High Sales","Low Sales")</f>
        <v>Low Sales</v>
      </c>
    </row>
    <row r="1306" spans="1:13" x14ac:dyDescent="0.3">
      <c r="A1306" t="s">
        <v>1230</v>
      </c>
      <c r="B1306" t="s">
        <v>1654</v>
      </c>
      <c r="C1306" s="1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  <c r="K1306" t="str">
        <f>TEXT(Table1[[#This Row],[PurchaseDate]],"mmm")</f>
        <v>Aug</v>
      </c>
      <c r="L1306">
        <f>YEAR(Table1[[#This Row],[PurchaseDate]])</f>
        <v>2024</v>
      </c>
      <c r="M1306" t="str">
        <f>IF(Table1[[#This Row],[TotalPrice]]&gt;2000,"High Sales","Low Sales")</f>
        <v>High Sales</v>
      </c>
    </row>
    <row r="1307" spans="1:13" x14ac:dyDescent="0.3">
      <c r="A1307" t="s">
        <v>153</v>
      </c>
      <c r="B1307" t="s">
        <v>1654</v>
      </c>
      <c r="C1307" s="1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  <c r="K1307" t="str">
        <f>TEXT(Table1[[#This Row],[PurchaseDate]],"mmm")</f>
        <v>Feb</v>
      </c>
      <c r="L1307">
        <f>YEAR(Table1[[#This Row],[PurchaseDate]])</f>
        <v>2023</v>
      </c>
      <c r="M1307" t="str">
        <f>IF(Table1[[#This Row],[TotalPrice]]&gt;2000,"High Sales","Low Sales")</f>
        <v>Low Sales</v>
      </c>
    </row>
    <row r="1308" spans="1:13" x14ac:dyDescent="0.3">
      <c r="A1308" t="s">
        <v>1231</v>
      </c>
      <c r="B1308" t="s">
        <v>1653</v>
      </c>
      <c r="C1308" s="1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  <c r="K1308" t="str">
        <f>TEXT(Table1[[#This Row],[PurchaseDate]],"mmm")</f>
        <v>Sep</v>
      </c>
      <c r="L1308">
        <f>YEAR(Table1[[#This Row],[PurchaseDate]])</f>
        <v>2024</v>
      </c>
      <c r="M1308" t="str">
        <f>IF(Table1[[#This Row],[TotalPrice]]&gt;2000,"High Sales","Low Sales")</f>
        <v>Low Sales</v>
      </c>
    </row>
    <row r="1309" spans="1:13" x14ac:dyDescent="0.3">
      <c r="A1309" t="s">
        <v>1232</v>
      </c>
      <c r="B1309" t="s">
        <v>1656</v>
      </c>
      <c r="C1309" s="1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  <c r="K1309" t="str">
        <f>TEXT(Table1[[#This Row],[PurchaseDate]],"mmm")</f>
        <v>Sep</v>
      </c>
      <c r="L1309">
        <f>YEAR(Table1[[#This Row],[PurchaseDate]])</f>
        <v>2024</v>
      </c>
      <c r="M1309" t="str">
        <f>IF(Table1[[#This Row],[TotalPrice]]&gt;2000,"High Sales","Low Sales")</f>
        <v>High Sales</v>
      </c>
    </row>
    <row r="1310" spans="1:13" x14ac:dyDescent="0.3">
      <c r="A1310" t="s">
        <v>1233</v>
      </c>
      <c r="B1310" t="s">
        <v>1655</v>
      </c>
      <c r="C1310" s="1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  <c r="K1310" t="str">
        <f>TEXT(Table1[[#This Row],[PurchaseDate]],"mmm")</f>
        <v>Nov</v>
      </c>
      <c r="L1310">
        <f>YEAR(Table1[[#This Row],[PurchaseDate]])</f>
        <v>2024</v>
      </c>
      <c r="M1310" t="str">
        <f>IF(Table1[[#This Row],[TotalPrice]]&gt;2000,"High Sales","Low Sales")</f>
        <v>High Sales</v>
      </c>
    </row>
    <row r="1311" spans="1:13" x14ac:dyDescent="0.3">
      <c r="A1311" t="s">
        <v>1234</v>
      </c>
      <c r="B1311" t="s">
        <v>1655</v>
      </c>
      <c r="C1311" s="1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  <c r="K1311" t="str">
        <f>TEXT(Table1[[#This Row],[PurchaseDate]],"mmm")</f>
        <v>Jun</v>
      </c>
      <c r="L1311">
        <f>YEAR(Table1[[#This Row],[PurchaseDate]])</f>
        <v>2024</v>
      </c>
      <c r="M1311" t="str">
        <f>IF(Table1[[#This Row],[TotalPrice]]&gt;2000,"High Sales","Low Sales")</f>
        <v>Low Sales</v>
      </c>
    </row>
    <row r="1312" spans="1:13" x14ac:dyDescent="0.3">
      <c r="A1312" t="s">
        <v>1235</v>
      </c>
      <c r="B1312" t="s">
        <v>1658</v>
      </c>
      <c r="C1312" s="1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  <c r="K1312" t="str">
        <f>TEXT(Table1[[#This Row],[PurchaseDate]],"mmm")</f>
        <v>Apr</v>
      </c>
      <c r="L1312">
        <f>YEAR(Table1[[#This Row],[PurchaseDate]])</f>
        <v>2025</v>
      </c>
      <c r="M1312" t="str">
        <f>IF(Table1[[#This Row],[TotalPrice]]&gt;2000,"High Sales","Low Sales")</f>
        <v>Low Sales</v>
      </c>
    </row>
    <row r="1313" spans="1:13" x14ac:dyDescent="0.3">
      <c r="A1313" t="s">
        <v>1236</v>
      </c>
      <c r="B1313" t="s">
        <v>1653</v>
      </c>
      <c r="C1313" s="1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  <c r="K1313" t="str">
        <f>TEXT(Table1[[#This Row],[PurchaseDate]],"mmm")</f>
        <v>Feb</v>
      </c>
      <c r="L1313">
        <f>YEAR(Table1[[#This Row],[PurchaseDate]])</f>
        <v>2025</v>
      </c>
      <c r="M1313" t="str">
        <f>IF(Table1[[#This Row],[TotalPrice]]&gt;2000,"High Sales","Low Sales")</f>
        <v>High Sales</v>
      </c>
    </row>
    <row r="1314" spans="1:13" x14ac:dyDescent="0.3">
      <c r="A1314" t="s">
        <v>933</v>
      </c>
      <c r="B1314" t="s">
        <v>1657</v>
      </c>
      <c r="C1314" s="1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  <c r="K1314" t="str">
        <f>TEXT(Table1[[#This Row],[PurchaseDate]],"mmm")</f>
        <v>Oct</v>
      </c>
      <c r="L1314">
        <f>YEAR(Table1[[#This Row],[PurchaseDate]])</f>
        <v>2024</v>
      </c>
      <c r="M1314" t="str">
        <f>IF(Table1[[#This Row],[TotalPrice]]&gt;2000,"High Sales","Low Sales")</f>
        <v>Low Sales</v>
      </c>
    </row>
    <row r="1315" spans="1:13" x14ac:dyDescent="0.3">
      <c r="A1315" t="s">
        <v>728</v>
      </c>
      <c r="B1315" t="s">
        <v>1657</v>
      </c>
      <c r="C1315" s="1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  <c r="K1315" t="str">
        <f>TEXT(Table1[[#This Row],[PurchaseDate]],"mmm")</f>
        <v>Oct</v>
      </c>
      <c r="L1315">
        <f>YEAR(Table1[[#This Row],[PurchaseDate]])</f>
        <v>2023</v>
      </c>
      <c r="M1315" t="str">
        <f>IF(Table1[[#This Row],[TotalPrice]]&gt;2000,"High Sales","Low Sales")</f>
        <v>Low Sales</v>
      </c>
    </row>
    <row r="1316" spans="1:13" x14ac:dyDescent="0.3">
      <c r="A1316" t="s">
        <v>1237</v>
      </c>
      <c r="B1316" t="s">
        <v>1653</v>
      </c>
      <c r="C1316" s="1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  <c r="K1316" t="str">
        <f>TEXT(Table1[[#This Row],[PurchaseDate]],"mmm")</f>
        <v>Jul</v>
      </c>
      <c r="L1316">
        <f>YEAR(Table1[[#This Row],[PurchaseDate]])</f>
        <v>2024</v>
      </c>
      <c r="M1316" t="str">
        <f>IF(Table1[[#This Row],[TotalPrice]]&gt;2000,"High Sales","Low Sales")</f>
        <v>Low Sales</v>
      </c>
    </row>
    <row r="1317" spans="1:13" x14ac:dyDescent="0.3">
      <c r="A1317" t="s">
        <v>1238</v>
      </c>
      <c r="B1317" t="s">
        <v>1655</v>
      </c>
      <c r="C1317" s="1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  <c r="K1317" t="str">
        <f>TEXT(Table1[[#This Row],[PurchaseDate]],"mmm")</f>
        <v>May</v>
      </c>
      <c r="L1317">
        <f>YEAR(Table1[[#This Row],[PurchaseDate]])</f>
        <v>2023</v>
      </c>
      <c r="M1317" t="str">
        <f>IF(Table1[[#This Row],[TotalPrice]]&gt;2000,"High Sales","Low Sales")</f>
        <v>Low Sales</v>
      </c>
    </row>
    <row r="1318" spans="1:13" x14ac:dyDescent="0.3">
      <c r="A1318" t="s">
        <v>1239</v>
      </c>
      <c r="B1318" t="s">
        <v>1656</v>
      </c>
      <c r="C1318" s="1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  <c r="K1318" t="str">
        <f>TEXT(Table1[[#This Row],[PurchaseDate]],"mmm")</f>
        <v>Sep</v>
      </c>
      <c r="L1318">
        <f>YEAR(Table1[[#This Row],[PurchaseDate]])</f>
        <v>2024</v>
      </c>
      <c r="M1318" t="str">
        <f>IF(Table1[[#This Row],[TotalPrice]]&gt;2000,"High Sales","Low Sales")</f>
        <v>Low Sales</v>
      </c>
    </row>
    <row r="1319" spans="1:13" x14ac:dyDescent="0.3">
      <c r="A1319" t="s">
        <v>1240</v>
      </c>
      <c r="B1319" t="s">
        <v>1658</v>
      </c>
      <c r="C1319" s="1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  <c r="K1319" t="str">
        <f>TEXT(Table1[[#This Row],[PurchaseDate]],"mmm")</f>
        <v>Jul</v>
      </c>
      <c r="L1319">
        <f>YEAR(Table1[[#This Row],[PurchaseDate]])</f>
        <v>2024</v>
      </c>
      <c r="M1319" t="str">
        <f>IF(Table1[[#This Row],[TotalPrice]]&gt;2000,"High Sales","Low Sales")</f>
        <v>Low Sales</v>
      </c>
    </row>
    <row r="1320" spans="1:13" x14ac:dyDescent="0.3">
      <c r="A1320" t="s">
        <v>1241</v>
      </c>
      <c r="B1320" t="s">
        <v>1656</v>
      </c>
      <c r="C1320" s="1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  <c r="K1320" t="str">
        <f>TEXT(Table1[[#This Row],[PurchaseDate]],"mmm")</f>
        <v>Dec</v>
      </c>
      <c r="L1320">
        <f>YEAR(Table1[[#This Row],[PurchaseDate]])</f>
        <v>2023</v>
      </c>
      <c r="M1320" t="str">
        <f>IF(Table1[[#This Row],[TotalPrice]]&gt;2000,"High Sales","Low Sales")</f>
        <v>Low Sales</v>
      </c>
    </row>
    <row r="1321" spans="1:13" x14ac:dyDescent="0.3">
      <c r="A1321" t="s">
        <v>684</v>
      </c>
      <c r="B1321" t="s">
        <v>1654</v>
      </c>
      <c r="C1321" s="1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  <c r="K1321" t="str">
        <f>TEXT(Table1[[#This Row],[PurchaseDate]],"mmm")</f>
        <v>Mar</v>
      </c>
      <c r="L1321">
        <f>YEAR(Table1[[#This Row],[PurchaseDate]])</f>
        <v>2023</v>
      </c>
      <c r="M1321" t="str">
        <f>IF(Table1[[#This Row],[TotalPrice]]&gt;2000,"High Sales","Low Sales")</f>
        <v>Low Sales</v>
      </c>
    </row>
    <row r="1322" spans="1:13" x14ac:dyDescent="0.3">
      <c r="A1322" t="s">
        <v>254</v>
      </c>
      <c r="B1322" t="s">
        <v>1656</v>
      </c>
      <c r="C1322" s="1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  <c r="K1322" t="str">
        <f>TEXT(Table1[[#This Row],[PurchaseDate]],"mmm")</f>
        <v>Jun</v>
      </c>
      <c r="L1322">
        <f>YEAR(Table1[[#This Row],[PurchaseDate]])</f>
        <v>2025</v>
      </c>
      <c r="M1322" t="str">
        <f>IF(Table1[[#This Row],[TotalPrice]]&gt;2000,"High Sales","Low Sales")</f>
        <v>Low Sales</v>
      </c>
    </row>
    <row r="1323" spans="1:13" x14ac:dyDescent="0.3">
      <c r="A1323" t="s">
        <v>1242</v>
      </c>
      <c r="B1323" t="s">
        <v>1655</v>
      </c>
      <c r="C1323" s="1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  <c r="K1323" t="str">
        <f>TEXT(Table1[[#This Row],[PurchaseDate]],"mmm")</f>
        <v>May</v>
      </c>
      <c r="L1323">
        <f>YEAR(Table1[[#This Row],[PurchaseDate]])</f>
        <v>2024</v>
      </c>
      <c r="M1323" t="str">
        <f>IF(Table1[[#This Row],[TotalPrice]]&gt;2000,"High Sales","Low Sales")</f>
        <v>Low Sales</v>
      </c>
    </row>
    <row r="1324" spans="1:13" x14ac:dyDescent="0.3">
      <c r="A1324" t="s">
        <v>1243</v>
      </c>
      <c r="B1324" t="s">
        <v>1654</v>
      </c>
      <c r="C1324" s="1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  <c r="K1324" t="str">
        <f>TEXT(Table1[[#This Row],[PurchaseDate]],"mmm")</f>
        <v>Feb</v>
      </c>
      <c r="L1324">
        <f>YEAR(Table1[[#This Row],[PurchaseDate]])</f>
        <v>2025</v>
      </c>
      <c r="M1324" t="str">
        <f>IF(Table1[[#This Row],[TotalPrice]]&gt;2000,"High Sales","Low Sales")</f>
        <v>Low Sales</v>
      </c>
    </row>
    <row r="1325" spans="1:13" x14ac:dyDescent="0.3">
      <c r="A1325" t="s">
        <v>1244</v>
      </c>
      <c r="B1325" t="s">
        <v>1655</v>
      </c>
      <c r="C1325" s="1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  <c r="K1325" t="str">
        <f>TEXT(Table1[[#This Row],[PurchaseDate]],"mmm")</f>
        <v>Feb</v>
      </c>
      <c r="L1325">
        <f>YEAR(Table1[[#This Row],[PurchaseDate]])</f>
        <v>2023</v>
      </c>
      <c r="M1325" t="str">
        <f>IF(Table1[[#This Row],[TotalPrice]]&gt;2000,"High Sales","Low Sales")</f>
        <v>Low Sales</v>
      </c>
    </row>
    <row r="1326" spans="1:13" x14ac:dyDescent="0.3">
      <c r="A1326" t="s">
        <v>1245</v>
      </c>
      <c r="B1326" t="s">
        <v>1654</v>
      </c>
      <c r="C1326" s="1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  <c r="K1326" t="str">
        <f>TEXT(Table1[[#This Row],[PurchaseDate]],"mmm")</f>
        <v>Apr</v>
      </c>
      <c r="L1326">
        <f>YEAR(Table1[[#This Row],[PurchaseDate]])</f>
        <v>2025</v>
      </c>
      <c r="M1326" t="str">
        <f>IF(Table1[[#This Row],[TotalPrice]]&gt;2000,"High Sales","Low Sales")</f>
        <v>High Sales</v>
      </c>
    </row>
    <row r="1327" spans="1:13" x14ac:dyDescent="0.3">
      <c r="A1327" t="s">
        <v>1246</v>
      </c>
      <c r="B1327" t="s">
        <v>1656</v>
      </c>
      <c r="C1327" s="1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  <c r="K1327" t="str">
        <f>TEXT(Table1[[#This Row],[PurchaseDate]],"mmm")</f>
        <v>Dec</v>
      </c>
      <c r="L1327">
        <f>YEAR(Table1[[#This Row],[PurchaseDate]])</f>
        <v>2023</v>
      </c>
      <c r="M1327" t="str">
        <f>IF(Table1[[#This Row],[TotalPrice]]&gt;2000,"High Sales","Low Sales")</f>
        <v>Low Sales</v>
      </c>
    </row>
    <row r="1328" spans="1:13" x14ac:dyDescent="0.3">
      <c r="A1328" t="s">
        <v>1247</v>
      </c>
      <c r="B1328" t="s">
        <v>1652</v>
      </c>
      <c r="C1328" s="1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  <c r="K1328" t="str">
        <f>TEXT(Table1[[#This Row],[PurchaseDate]],"mmm")</f>
        <v>Oct</v>
      </c>
      <c r="L1328">
        <f>YEAR(Table1[[#This Row],[PurchaseDate]])</f>
        <v>2024</v>
      </c>
      <c r="M1328" t="str">
        <f>IF(Table1[[#This Row],[TotalPrice]]&gt;2000,"High Sales","Low Sales")</f>
        <v>High Sales</v>
      </c>
    </row>
    <row r="1329" spans="1:13" x14ac:dyDescent="0.3">
      <c r="A1329" t="s">
        <v>1248</v>
      </c>
      <c r="B1329" t="s">
        <v>1656</v>
      </c>
      <c r="C1329" s="1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  <c r="K1329" t="str">
        <f>TEXT(Table1[[#This Row],[PurchaseDate]],"mmm")</f>
        <v>Dec</v>
      </c>
      <c r="L1329">
        <f>YEAR(Table1[[#This Row],[PurchaseDate]])</f>
        <v>2023</v>
      </c>
      <c r="M1329" t="str">
        <f>IF(Table1[[#This Row],[TotalPrice]]&gt;2000,"High Sales","Low Sales")</f>
        <v>High Sales</v>
      </c>
    </row>
    <row r="1330" spans="1:13" x14ac:dyDescent="0.3">
      <c r="A1330" t="s">
        <v>1249</v>
      </c>
      <c r="B1330" t="s">
        <v>1652</v>
      </c>
      <c r="C1330" s="1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  <c r="K1330" t="str">
        <f>TEXT(Table1[[#This Row],[PurchaseDate]],"mmm")</f>
        <v>Jul</v>
      </c>
      <c r="L1330">
        <f>YEAR(Table1[[#This Row],[PurchaseDate]])</f>
        <v>2023</v>
      </c>
      <c r="M1330" t="str">
        <f>IF(Table1[[#This Row],[TotalPrice]]&gt;2000,"High Sales","Low Sales")</f>
        <v>High Sales</v>
      </c>
    </row>
    <row r="1331" spans="1:13" x14ac:dyDescent="0.3">
      <c r="A1331" t="s">
        <v>97</v>
      </c>
      <c r="B1331" t="s">
        <v>1657</v>
      </c>
      <c r="C1331" s="1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  <c r="K1331" t="str">
        <f>TEXT(Table1[[#This Row],[PurchaseDate]],"mmm")</f>
        <v>Nov</v>
      </c>
      <c r="L1331">
        <f>YEAR(Table1[[#This Row],[PurchaseDate]])</f>
        <v>2024</v>
      </c>
      <c r="M1331" t="str">
        <f>IF(Table1[[#This Row],[TotalPrice]]&gt;2000,"High Sales","Low Sales")</f>
        <v>Low Sales</v>
      </c>
    </row>
    <row r="1332" spans="1:13" x14ac:dyDescent="0.3">
      <c r="A1332" t="s">
        <v>1250</v>
      </c>
      <c r="B1332" t="s">
        <v>1652</v>
      </c>
      <c r="C1332" s="1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  <c r="K1332" t="str">
        <f>TEXT(Table1[[#This Row],[PurchaseDate]],"mmm")</f>
        <v>Jan</v>
      </c>
      <c r="L1332">
        <f>YEAR(Table1[[#This Row],[PurchaseDate]])</f>
        <v>2023</v>
      </c>
      <c r="M1332" t="str">
        <f>IF(Table1[[#This Row],[TotalPrice]]&gt;2000,"High Sales","Low Sales")</f>
        <v>Low Sales</v>
      </c>
    </row>
    <row r="1333" spans="1:13" x14ac:dyDescent="0.3">
      <c r="A1333" t="s">
        <v>1251</v>
      </c>
      <c r="B1333" t="s">
        <v>1658</v>
      </c>
      <c r="C1333" s="1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  <c r="K1333" t="str">
        <f>TEXT(Table1[[#This Row],[PurchaseDate]],"mmm")</f>
        <v>Sep</v>
      </c>
      <c r="L1333">
        <f>YEAR(Table1[[#This Row],[PurchaseDate]])</f>
        <v>2023</v>
      </c>
      <c r="M1333" t="str">
        <f>IF(Table1[[#This Row],[TotalPrice]]&gt;2000,"High Sales","Low Sales")</f>
        <v>Low Sales</v>
      </c>
    </row>
    <row r="1334" spans="1:13" x14ac:dyDescent="0.3">
      <c r="A1334" t="s">
        <v>1252</v>
      </c>
      <c r="B1334" t="s">
        <v>1658</v>
      </c>
      <c r="C1334" s="1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  <c r="K1334" t="str">
        <f>TEXT(Table1[[#This Row],[PurchaseDate]],"mmm")</f>
        <v>May</v>
      </c>
      <c r="L1334">
        <f>YEAR(Table1[[#This Row],[PurchaseDate]])</f>
        <v>2024</v>
      </c>
      <c r="M1334" t="str">
        <f>IF(Table1[[#This Row],[TotalPrice]]&gt;2000,"High Sales","Low Sales")</f>
        <v>High Sales</v>
      </c>
    </row>
    <row r="1335" spans="1:13" x14ac:dyDescent="0.3">
      <c r="A1335" t="s">
        <v>1253</v>
      </c>
      <c r="B1335" t="s">
        <v>1652</v>
      </c>
      <c r="C1335" s="1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  <c r="K1335" t="str">
        <f>TEXT(Table1[[#This Row],[PurchaseDate]],"mmm")</f>
        <v>Aug</v>
      </c>
      <c r="L1335">
        <f>YEAR(Table1[[#This Row],[PurchaseDate]])</f>
        <v>2023</v>
      </c>
      <c r="M1335" t="str">
        <f>IF(Table1[[#This Row],[TotalPrice]]&gt;2000,"High Sales","Low Sales")</f>
        <v>High Sales</v>
      </c>
    </row>
    <row r="1336" spans="1:13" x14ac:dyDescent="0.3">
      <c r="A1336" t="s">
        <v>1254</v>
      </c>
      <c r="B1336" t="s">
        <v>1652</v>
      </c>
      <c r="C1336" s="1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  <c r="K1336" t="str">
        <f>TEXT(Table1[[#This Row],[PurchaseDate]],"mmm")</f>
        <v>May</v>
      </c>
      <c r="L1336">
        <f>YEAR(Table1[[#This Row],[PurchaseDate]])</f>
        <v>2025</v>
      </c>
      <c r="M1336" t="str">
        <f>IF(Table1[[#This Row],[TotalPrice]]&gt;2000,"High Sales","Low Sales")</f>
        <v>High Sales</v>
      </c>
    </row>
    <row r="1337" spans="1:13" x14ac:dyDescent="0.3">
      <c r="A1337" t="s">
        <v>1255</v>
      </c>
      <c r="B1337" t="s">
        <v>1657</v>
      </c>
      <c r="C1337" s="1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  <c r="K1337" t="str">
        <f>TEXT(Table1[[#This Row],[PurchaseDate]],"mmm")</f>
        <v>Apr</v>
      </c>
      <c r="L1337">
        <f>YEAR(Table1[[#This Row],[PurchaseDate]])</f>
        <v>2024</v>
      </c>
      <c r="M1337" t="str">
        <f>IF(Table1[[#This Row],[TotalPrice]]&gt;2000,"High Sales","Low Sales")</f>
        <v>Low Sales</v>
      </c>
    </row>
    <row r="1338" spans="1:13" x14ac:dyDescent="0.3">
      <c r="A1338" t="s">
        <v>1122</v>
      </c>
      <c r="B1338" t="s">
        <v>1656</v>
      </c>
      <c r="C1338" s="1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  <c r="K1338" t="str">
        <f>TEXT(Table1[[#This Row],[PurchaseDate]],"mmm")</f>
        <v>Mar</v>
      </c>
      <c r="L1338">
        <f>YEAR(Table1[[#This Row],[PurchaseDate]])</f>
        <v>2025</v>
      </c>
      <c r="M1338" t="str">
        <f>IF(Table1[[#This Row],[TotalPrice]]&gt;2000,"High Sales","Low Sales")</f>
        <v>High Sales</v>
      </c>
    </row>
    <row r="1339" spans="1:13" x14ac:dyDescent="0.3">
      <c r="A1339" t="s">
        <v>1194</v>
      </c>
      <c r="B1339" t="s">
        <v>1657</v>
      </c>
      <c r="C1339" s="1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  <c r="K1339" t="str">
        <f>TEXT(Table1[[#This Row],[PurchaseDate]],"mmm")</f>
        <v>Nov</v>
      </c>
      <c r="L1339">
        <f>YEAR(Table1[[#This Row],[PurchaseDate]])</f>
        <v>2024</v>
      </c>
      <c r="M1339" t="str">
        <f>IF(Table1[[#This Row],[TotalPrice]]&gt;2000,"High Sales","Low Sales")</f>
        <v>Low Sales</v>
      </c>
    </row>
    <row r="1340" spans="1:13" x14ac:dyDescent="0.3">
      <c r="A1340" t="s">
        <v>1256</v>
      </c>
      <c r="B1340" t="s">
        <v>1658</v>
      </c>
      <c r="C1340" s="1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  <c r="K1340" t="str">
        <f>TEXT(Table1[[#This Row],[PurchaseDate]],"mmm")</f>
        <v>Nov</v>
      </c>
      <c r="L1340">
        <f>YEAR(Table1[[#This Row],[PurchaseDate]])</f>
        <v>2023</v>
      </c>
      <c r="M1340" t="str">
        <f>IF(Table1[[#This Row],[TotalPrice]]&gt;2000,"High Sales","Low Sales")</f>
        <v>Low Sales</v>
      </c>
    </row>
    <row r="1341" spans="1:13" x14ac:dyDescent="0.3">
      <c r="A1341" t="s">
        <v>729</v>
      </c>
      <c r="B1341" t="s">
        <v>1658</v>
      </c>
      <c r="C1341" s="1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  <c r="K1341" t="str">
        <f>TEXT(Table1[[#This Row],[PurchaseDate]],"mmm")</f>
        <v>Jan</v>
      </c>
      <c r="L1341">
        <f>YEAR(Table1[[#This Row],[PurchaseDate]])</f>
        <v>2024</v>
      </c>
      <c r="M1341" t="str">
        <f>IF(Table1[[#This Row],[TotalPrice]]&gt;2000,"High Sales","Low Sales")</f>
        <v>Low Sales</v>
      </c>
    </row>
    <row r="1342" spans="1:13" x14ac:dyDescent="0.3">
      <c r="A1342" t="s">
        <v>1257</v>
      </c>
      <c r="B1342" t="s">
        <v>1653</v>
      </c>
      <c r="C1342" s="1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  <c r="K1342" t="str">
        <f>TEXT(Table1[[#This Row],[PurchaseDate]],"mmm")</f>
        <v>Mar</v>
      </c>
      <c r="L1342">
        <f>YEAR(Table1[[#This Row],[PurchaseDate]])</f>
        <v>2025</v>
      </c>
      <c r="M1342" t="str">
        <f>IF(Table1[[#This Row],[TotalPrice]]&gt;2000,"High Sales","Low Sales")</f>
        <v>Low Sales</v>
      </c>
    </row>
    <row r="1343" spans="1:13" x14ac:dyDescent="0.3">
      <c r="A1343" t="s">
        <v>1258</v>
      </c>
      <c r="B1343" t="s">
        <v>1654</v>
      </c>
      <c r="C1343" s="1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  <c r="K1343" t="str">
        <f>TEXT(Table1[[#This Row],[PurchaseDate]],"mmm")</f>
        <v>Mar</v>
      </c>
      <c r="L1343">
        <f>YEAR(Table1[[#This Row],[PurchaseDate]])</f>
        <v>2025</v>
      </c>
      <c r="M1343" t="str">
        <f>IF(Table1[[#This Row],[TotalPrice]]&gt;2000,"High Sales","Low Sales")</f>
        <v>Low Sales</v>
      </c>
    </row>
    <row r="1344" spans="1:13" x14ac:dyDescent="0.3">
      <c r="A1344" t="s">
        <v>1259</v>
      </c>
      <c r="B1344" t="s">
        <v>1657</v>
      </c>
      <c r="C1344" s="1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  <c r="K1344" t="str">
        <f>TEXT(Table1[[#This Row],[PurchaseDate]],"mmm")</f>
        <v>Mar</v>
      </c>
      <c r="L1344">
        <f>YEAR(Table1[[#This Row],[PurchaseDate]])</f>
        <v>2024</v>
      </c>
      <c r="M1344" t="str">
        <f>IF(Table1[[#This Row],[TotalPrice]]&gt;2000,"High Sales","Low Sales")</f>
        <v>High Sales</v>
      </c>
    </row>
    <row r="1345" spans="1:13" x14ac:dyDescent="0.3">
      <c r="A1345" t="s">
        <v>1260</v>
      </c>
      <c r="B1345" t="s">
        <v>1654</v>
      </c>
      <c r="C1345" s="1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  <c r="K1345" t="str">
        <f>TEXT(Table1[[#This Row],[PurchaseDate]],"mmm")</f>
        <v>Nov</v>
      </c>
      <c r="L1345">
        <f>YEAR(Table1[[#This Row],[PurchaseDate]])</f>
        <v>2024</v>
      </c>
      <c r="M1345" t="str">
        <f>IF(Table1[[#This Row],[TotalPrice]]&gt;2000,"High Sales","Low Sales")</f>
        <v>High Sales</v>
      </c>
    </row>
    <row r="1346" spans="1:13" x14ac:dyDescent="0.3">
      <c r="A1346" t="s">
        <v>1261</v>
      </c>
      <c r="B1346" t="s">
        <v>1652</v>
      </c>
      <c r="C1346" s="1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  <c r="K1346" t="str">
        <f>TEXT(Table1[[#This Row],[PurchaseDate]],"mmm")</f>
        <v>Mar</v>
      </c>
      <c r="L1346">
        <f>YEAR(Table1[[#This Row],[PurchaseDate]])</f>
        <v>2024</v>
      </c>
      <c r="M1346" t="str">
        <f>IF(Table1[[#This Row],[TotalPrice]]&gt;2000,"High Sales","Low Sales")</f>
        <v>Low Sales</v>
      </c>
    </row>
    <row r="1347" spans="1:13" x14ac:dyDescent="0.3">
      <c r="A1347" t="s">
        <v>1262</v>
      </c>
      <c r="B1347" t="s">
        <v>1657</v>
      </c>
      <c r="C1347" s="1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  <c r="K1347" t="str">
        <f>TEXT(Table1[[#This Row],[PurchaseDate]],"mmm")</f>
        <v>Dec</v>
      </c>
      <c r="L1347">
        <f>YEAR(Table1[[#This Row],[PurchaseDate]])</f>
        <v>2024</v>
      </c>
      <c r="M1347" t="str">
        <f>IF(Table1[[#This Row],[TotalPrice]]&gt;2000,"High Sales","Low Sales")</f>
        <v>High Sales</v>
      </c>
    </row>
    <row r="1348" spans="1:13" x14ac:dyDescent="0.3">
      <c r="A1348" t="s">
        <v>1263</v>
      </c>
      <c r="B1348" t="s">
        <v>1655</v>
      </c>
      <c r="C1348" s="1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  <c r="K1348" t="str">
        <f>TEXT(Table1[[#This Row],[PurchaseDate]],"mmm")</f>
        <v>Aug</v>
      </c>
      <c r="L1348">
        <f>YEAR(Table1[[#This Row],[PurchaseDate]])</f>
        <v>2023</v>
      </c>
      <c r="M1348" t="str">
        <f>IF(Table1[[#This Row],[TotalPrice]]&gt;2000,"High Sales","Low Sales")</f>
        <v>Low Sales</v>
      </c>
    </row>
    <row r="1349" spans="1:13" x14ac:dyDescent="0.3">
      <c r="A1349" t="s">
        <v>1264</v>
      </c>
      <c r="B1349" t="s">
        <v>1652</v>
      </c>
      <c r="C1349" s="1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  <c r="K1349" t="str">
        <f>TEXT(Table1[[#This Row],[PurchaseDate]],"mmm")</f>
        <v>May</v>
      </c>
      <c r="L1349">
        <f>YEAR(Table1[[#This Row],[PurchaseDate]])</f>
        <v>2024</v>
      </c>
      <c r="M1349" t="str">
        <f>IF(Table1[[#This Row],[TotalPrice]]&gt;2000,"High Sales","Low Sales")</f>
        <v>Low Sales</v>
      </c>
    </row>
    <row r="1350" spans="1:13" x14ac:dyDescent="0.3">
      <c r="A1350" t="s">
        <v>1265</v>
      </c>
      <c r="B1350" t="s">
        <v>1656</v>
      </c>
      <c r="C1350" s="1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  <c r="K1350" t="str">
        <f>TEXT(Table1[[#This Row],[PurchaseDate]],"mmm")</f>
        <v>Jun</v>
      </c>
      <c r="L1350">
        <f>YEAR(Table1[[#This Row],[PurchaseDate]])</f>
        <v>2024</v>
      </c>
      <c r="M1350" t="str">
        <f>IF(Table1[[#This Row],[TotalPrice]]&gt;2000,"High Sales","Low Sales")</f>
        <v>Low Sales</v>
      </c>
    </row>
    <row r="1351" spans="1:13" x14ac:dyDescent="0.3">
      <c r="A1351" t="s">
        <v>1266</v>
      </c>
      <c r="B1351" t="s">
        <v>1653</v>
      </c>
      <c r="C1351" s="1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  <c r="K1351" t="str">
        <f>TEXT(Table1[[#This Row],[PurchaseDate]],"mmm")</f>
        <v>May</v>
      </c>
      <c r="L1351">
        <f>YEAR(Table1[[#This Row],[PurchaseDate]])</f>
        <v>2023</v>
      </c>
      <c r="M1351" t="str">
        <f>IF(Table1[[#This Row],[TotalPrice]]&gt;2000,"High Sales","Low Sales")</f>
        <v>High Sales</v>
      </c>
    </row>
    <row r="1352" spans="1:13" x14ac:dyDescent="0.3">
      <c r="A1352" t="s">
        <v>1267</v>
      </c>
      <c r="B1352" t="s">
        <v>1657</v>
      </c>
      <c r="C1352" s="1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  <c r="K1352" t="str">
        <f>TEXT(Table1[[#This Row],[PurchaseDate]],"mmm")</f>
        <v>Jan</v>
      </c>
      <c r="L1352">
        <f>YEAR(Table1[[#This Row],[PurchaseDate]])</f>
        <v>2024</v>
      </c>
      <c r="M1352" t="str">
        <f>IF(Table1[[#This Row],[TotalPrice]]&gt;2000,"High Sales","Low Sales")</f>
        <v>High Sales</v>
      </c>
    </row>
    <row r="1353" spans="1:13" x14ac:dyDescent="0.3">
      <c r="A1353" t="s">
        <v>1268</v>
      </c>
      <c r="B1353" t="s">
        <v>1657</v>
      </c>
      <c r="C1353" s="1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  <c r="K1353" t="str">
        <f>TEXT(Table1[[#This Row],[PurchaseDate]],"mmm")</f>
        <v>Jul</v>
      </c>
      <c r="L1353">
        <f>YEAR(Table1[[#This Row],[PurchaseDate]])</f>
        <v>2024</v>
      </c>
      <c r="M1353" t="str">
        <f>IF(Table1[[#This Row],[TotalPrice]]&gt;2000,"High Sales","Low Sales")</f>
        <v>Low Sales</v>
      </c>
    </row>
    <row r="1354" spans="1:13" x14ac:dyDescent="0.3">
      <c r="A1354" t="s">
        <v>1269</v>
      </c>
      <c r="B1354" t="s">
        <v>1653</v>
      </c>
      <c r="C1354" s="1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  <c r="K1354" t="str">
        <f>TEXT(Table1[[#This Row],[PurchaseDate]],"mmm")</f>
        <v>May</v>
      </c>
      <c r="L1354">
        <f>YEAR(Table1[[#This Row],[PurchaseDate]])</f>
        <v>2024</v>
      </c>
      <c r="M1354" t="str">
        <f>IF(Table1[[#This Row],[TotalPrice]]&gt;2000,"High Sales","Low Sales")</f>
        <v>Low Sales</v>
      </c>
    </row>
    <row r="1355" spans="1:13" x14ac:dyDescent="0.3">
      <c r="A1355" t="s">
        <v>1270</v>
      </c>
      <c r="B1355" t="s">
        <v>1653</v>
      </c>
      <c r="C1355" s="1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  <c r="K1355" t="str">
        <f>TEXT(Table1[[#This Row],[PurchaseDate]],"mmm")</f>
        <v>Feb</v>
      </c>
      <c r="L1355">
        <f>YEAR(Table1[[#This Row],[PurchaseDate]])</f>
        <v>2023</v>
      </c>
      <c r="M1355" t="str">
        <f>IF(Table1[[#This Row],[TotalPrice]]&gt;2000,"High Sales","Low Sales")</f>
        <v>High Sales</v>
      </c>
    </row>
    <row r="1356" spans="1:13" x14ac:dyDescent="0.3">
      <c r="A1356" t="s">
        <v>1271</v>
      </c>
      <c r="B1356" t="s">
        <v>1656</v>
      </c>
      <c r="C1356" s="1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  <c r="K1356" t="str">
        <f>TEXT(Table1[[#This Row],[PurchaseDate]],"mmm")</f>
        <v>Jan</v>
      </c>
      <c r="L1356">
        <f>YEAR(Table1[[#This Row],[PurchaseDate]])</f>
        <v>2023</v>
      </c>
      <c r="M1356" t="str">
        <f>IF(Table1[[#This Row],[TotalPrice]]&gt;2000,"High Sales","Low Sales")</f>
        <v>Low Sales</v>
      </c>
    </row>
    <row r="1357" spans="1:13" x14ac:dyDescent="0.3">
      <c r="A1357" t="s">
        <v>1272</v>
      </c>
      <c r="B1357" t="s">
        <v>1652</v>
      </c>
      <c r="C1357" s="1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  <c r="K1357" t="str">
        <f>TEXT(Table1[[#This Row],[PurchaseDate]],"mmm")</f>
        <v>Mar</v>
      </c>
      <c r="L1357">
        <f>YEAR(Table1[[#This Row],[PurchaseDate]])</f>
        <v>2025</v>
      </c>
      <c r="M1357" t="str">
        <f>IF(Table1[[#This Row],[TotalPrice]]&gt;2000,"High Sales","Low Sales")</f>
        <v>High Sales</v>
      </c>
    </row>
    <row r="1358" spans="1:13" x14ac:dyDescent="0.3">
      <c r="A1358" t="s">
        <v>1273</v>
      </c>
      <c r="B1358" t="s">
        <v>1657</v>
      </c>
      <c r="C1358" s="1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  <c r="K1358" t="str">
        <f>TEXT(Table1[[#This Row],[PurchaseDate]],"mmm")</f>
        <v>Feb</v>
      </c>
      <c r="L1358">
        <f>YEAR(Table1[[#This Row],[PurchaseDate]])</f>
        <v>2023</v>
      </c>
      <c r="M1358" t="str">
        <f>IF(Table1[[#This Row],[TotalPrice]]&gt;2000,"High Sales","Low Sales")</f>
        <v>Low Sales</v>
      </c>
    </row>
    <row r="1359" spans="1:13" x14ac:dyDescent="0.3">
      <c r="A1359" t="s">
        <v>1274</v>
      </c>
      <c r="B1359" t="s">
        <v>1656</v>
      </c>
      <c r="C1359" s="1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  <c r="K1359" t="str">
        <f>TEXT(Table1[[#This Row],[PurchaseDate]],"mmm")</f>
        <v>Jul</v>
      </c>
      <c r="L1359">
        <f>YEAR(Table1[[#This Row],[PurchaseDate]])</f>
        <v>2023</v>
      </c>
      <c r="M1359" t="str">
        <f>IF(Table1[[#This Row],[TotalPrice]]&gt;2000,"High Sales","Low Sales")</f>
        <v>High Sales</v>
      </c>
    </row>
    <row r="1360" spans="1:13" x14ac:dyDescent="0.3">
      <c r="A1360" t="s">
        <v>1275</v>
      </c>
      <c r="B1360" t="s">
        <v>1655</v>
      </c>
      <c r="C1360" s="1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  <c r="K1360" t="str">
        <f>TEXT(Table1[[#This Row],[PurchaseDate]],"mmm")</f>
        <v>Jan</v>
      </c>
      <c r="L1360">
        <f>YEAR(Table1[[#This Row],[PurchaseDate]])</f>
        <v>2023</v>
      </c>
      <c r="M1360" t="str">
        <f>IF(Table1[[#This Row],[TotalPrice]]&gt;2000,"High Sales","Low Sales")</f>
        <v>High Sales</v>
      </c>
    </row>
    <row r="1361" spans="1:13" x14ac:dyDescent="0.3">
      <c r="A1361" t="s">
        <v>1276</v>
      </c>
      <c r="B1361" t="s">
        <v>1656</v>
      </c>
      <c r="C1361" s="1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  <c r="K1361" t="str">
        <f>TEXT(Table1[[#This Row],[PurchaseDate]],"mmm")</f>
        <v>Aug</v>
      </c>
      <c r="L1361">
        <f>YEAR(Table1[[#This Row],[PurchaseDate]])</f>
        <v>2023</v>
      </c>
      <c r="M1361" t="str">
        <f>IF(Table1[[#This Row],[TotalPrice]]&gt;2000,"High Sales","Low Sales")</f>
        <v>Low Sales</v>
      </c>
    </row>
    <row r="1362" spans="1:13" x14ac:dyDescent="0.3">
      <c r="A1362" t="s">
        <v>1277</v>
      </c>
      <c r="B1362" t="s">
        <v>1652</v>
      </c>
      <c r="C1362" s="1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  <c r="K1362" t="str">
        <f>TEXT(Table1[[#This Row],[PurchaseDate]],"mmm")</f>
        <v>Oct</v>
      </c>
      <c r="L1362">
        <f>YEAR(Table1[[#This Row],[PurchaseDate]])</f>
        <v>2024</v>
      </c>
      <c r="M1362" t="str">
        <f>IF(Table1[[#This Row],[TotalPrice]]&gt;2000,"High Sales","Low Sales")</f>
        <v>Low Sales</v>
      </c>
    </row>
    <row r="1363" spans="1:13" x14ac:dyDescent="0.3">
      <c r="A1363" t="s">
        <v>1278</v>
      </c>
      <c r="B1363" t="s">
        <v>1653</v>
      </c>
      <c r="C1363" s="1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  <c r="K1363" t="str">
        <f>TEXT(Table1[[#This Row],[PurchaseDate]],"mmm")</f>
        <v>Sep</v>
      </c>
      <c r="L1363">
        <f>YEAR(Table1[[#This Row],[PurchaseDate]])</f>
        <v>2023</v>
      </c>
      <c r="M1363" t="str">
        <f>IF(Table1[[#This Row],[TotalPrice]]&gt;2000,"High Sales","Low Sales")</f>
        <v>High Sales</v>
      </c>
    </row>
    <row r="1364" spans="1:13" x14ac:dyDescent="0.3">
      <c r="A1364" t="s">
        <v>1279</v>
      </c>
      <c r="B1364" t="s">
        <v>1658</v>
      </c>
      <c r="C1364" s="1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  <c r="K1364" t="str">
        <f>TEXT(Table1[[#This Row],[PurchaseDate]],"mmm")</f>
        <v>Mar</v>
      </c>
      <c r="L1364">
        <f>YEAR(Table1[[#This Row],[PurchaseDate]])</f>
        <v>2024</v>
      </c>
      <c r="M1364" t="str">
        <f>IF(Table1[[#This Row],[TotalPrice]]&gt;2000,"High Sales","Low Sales")</f>
        <v>High Sales</v>
      </c>
    </row>
    <row r="1365" spans="1:13" x14ac:dyDescent="0.3">
      <c r="A1365" t="s">
        <v>1280</v>
      </c>
      <c r="B1365" t="s">
        <v>1654</v>
      </c>
      <c r="C1365" s="1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  <c r="K1365" t="str">
        <f>TEXT(Table1[[#This Row],[PurchaseDate]],"mmm")</f>
        <v>Jul</v>
      </c>
      <c r="L1365">
        <f>YEAR(Table1[[#This Row],[PurchaseDate]])</f>
        <v>2023</v>
      </c>
      <c r="M1365" t="str">
        <f>IF(Table1[[#This Row],[TotalPrice]]&gt;2000,"High Sales","Low Sales")</f>
        <v>Low Sales</v>
      </c>
    </row>
    <row r="1366" spans="1:13" x14ac:dyDescent="0.3">
      <c r="A1366" t="s">
        <v>1281</v>
      </c>
      <c r="B1366" t="s">
        <v>1657</v>
      </c>
      <c r="C1366" s="1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  <c r="K1366" t="str">
        <f>TEXT(Table1[[#This Row],[PurchaseDate]],"mmm")</f>
        <v>Aug</v>
      </c>
      <c r="L1366">
        <f>YEAR(Table1[[#This Row],[PurchaseDate]])</f>
        <v>2024</v>
      </c>
      <c r="M1366" t="str">
        <f>IF(Table1[[#This Row],[TotalPrice]]&gt;2000,"High Sales","Low Sales")</f>
        <v>Low Sales</v>
      </c>
    </row>
    <row r="1367" spans="1:13" x14ac:dyDescent="0.3">
      <c r="A1367" t="s">
        <v>1282</v>
      </c>
      <c r="B1367" t="s">
        <v>1658</v>
      </c>
      <c r="C1367" s="1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  <c r="K1367" t="str">
        <f>TEXT(Table1[[#This Row],[PurchaseDate]],"mmm")</f>
        <v>Dec</v>
      </c>
      <c r="L1367">
        <f>YEAR(Table1[[#This Row],[PurchaseDate]])</f>
        <v>2024</v>
      </c>
      <c r="M1367" t="str">
        <f>IF(Table1[[#This Row],[TotalPrice]]&gt;2000,"High Sales","Low Sales")</f>
        <v>Low Sales</v>
      </c>
    </row>
    <row r="1368" spans="1:13" x14ac:dyDescent="0.3">
      <c r="A1368" t="s">
        <v>1283</v>
      </c>
      <c r="B1368" t="s">
        <v>1656</v>
      </c>
      <c r="C1368" s="1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  <c r="K1368" t="str">
        <f>TEXT(Table1[[#This Row],[PurchaseDate]],"mmm")</f>
        <v>Jun</v>
      </c>
      <c r="L1368">
        <f>YEAR(Table1[[#This Row],[PurchaseDate]])</f>
        <v>2025</v>
      </c>
      <c r="M1368" t="str">
        <f>IF(Table1[[#This Row],[TotalPrice]]&gt;2000,"High Sales","Low Sales")</f>
        <v>Low Sales</v>
      </c>
    </row>
    <row r="1369" spans="1:13" x14ac:dyDescent="0.3">
      <c r="A1369" t="s">
        <v>1284</v>
      </c>
      <c r="B1369" t="s">
        <v>1656</v>
      </c>
      <c r="C1369" s="1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  <c r="K1369" t="str">
        <f>TEXT(Table1[[#This Row],[PurchaseDate]],"mmm")</f>
        <v>Jul</v>
      </c>
      <c r="L1369">
        <f>YEAR(Table1[[#This Row],[PurchaseDate]])</f>
        <v>2024</v>
      </c>
      <c r="M1369" t="str">
        <f>IF(Table1[[#This Row],[TotalPrice]]&gt;2000,"High Sales","Low Sales")</f>
        <v>Low Sales</v>
      </c>
    </row>
    <row r="1370" spans="1:13" x14ac:dyDescent="0.3">
      <c r="A1370" t="s">
        <v>1285</v>
      </c>
      <c r="B1370" t="s">
        <v>1657</v>
      </c>
      <c r="C1370" s="1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  <c r="K1370" t="str">
        <f>TEXT(Table1[[#This Row],[PurchaseDate]],"mmm")</f>
        <v>May</v>
      </c>
      <c r="L1370">
        <f>YEAR(Table1[[#This Row],[PurchaseDate]])</f>
        <v>2024</v>
      </c>
      <c r="M1370" t="str">
        <f>IF(Table1[[#This Row],[TotalPrice]]&gt;2000,"High Sales","Low Sales")</f>
        <v>High Sales</v>
      </c>
    </row>
    <row r="1371" spans="1:13" x14ac:dyDescent="0.3">
      <c r="A1371" t="s">
        <v>1286</v>
      </c>
      <c r="B1371" t="s">
        <v>1655</v>
      </c>
      <c r="C1371" s="1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  <c r="K1371" t="str">
        <f>TEXT(Table1[[#This Row],[PurchaseDate]],"mmm")</f>
        <v>Jun</v>
      </c>
      <c r="L1371">
        <f>YEAR(Table1[[#This Row],[PurchaseDate]])</f>
        <v>2023</v>
      </c>
      <c r="M1371" t="str">
        <f>IF(Table1[[#This Row],[TotalPrice]]&gt;2000,"High Sales","Low Sales")</f>
        <v>High Sales</v>
      </c>
    </row>
    <row r="1372" spans="1:13" x14ac:dyDescent="0.3">
      <c r="A1372" t="s">
        <v>1287</v>
      </c>
      <c r="B1372" t="s">
        <v>1658</v>
      </c>
      <c r="C1372" s="1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  <c r="K1372" t="str">
        <f>TEXT(Table1[[#This Row],[PurchaseDate]],"mmm")</f>
        <v>Dec</v>
      </c>
      <c r="L1372">
        <f>YEAR(Table1[[#This Row],[PurchaseDate]])</f>
        <v>2024</v>
      </c>
      <c r="M1372" t="str">
        <f>IF(Table1[[#This Row],[TotalPrice]]&gt;2000,"High Sales","Low Sales")</f>
        <v>Low Sales</v>
      </c>
    </row>
    <row r="1373" spans="1:13" x14ac:dyDescent="0.3">
      <c r="A1373" t="s">
        <v>1288</v>
      </c>
      <c r="B1373" t="s">
        <v>1658</v>
      </c>
      <c r="C1373" s="1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  <c r="K1373" t="str">
        <f>TEXT(Table1[[#This Row],[PurchaseDate]],"mmm")</f>
        <v>Apr</v>
      </c>
      <c r="L1373">
        <f>YEAR(Table1[[#This Row],[PurchaseDate]])</f>
        <v>2023</v>
      </c>
      <c r="M1373" t="str">
        <f>IF(Table1[[#This Row],[TotalPrice]]&gt;2000,"High Sales","Low Sales")</f>
        <v>Low Sales</v>
      </c>
    </row>
    <row r="1374" spans="1:13" x14ac:dyDescent="0.3">
      <c r="A1374" t="s">
        <v>1289</v>
      </c>
      <c r="B1374" t="s">
        <v>1658</v>
      </c>
      <c r="C1374" s="1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  <c r="K1374" t="str">
        <f>TEXT(Table1[[#This Row],[PurchaseDate]],"mmm")</f>
        <v>May</v>
      </c>
      <c r="L1374">
        <f>YEAR(Table1[[#This Row],[PurchaseDate]])</f>
        <v>2024</v>
      </c>
      <c r="M1374" t="str">
        <f>IF(Table1[[#This Row],[TotalPrice]]&gt;2000,"High Sales","Low Sales")</f>
        <v>High Sales</v>
      </c>
    </row>
    <row r="1375" spans="1:13" x14ac:dyDescent="0.3">
      <c r="A1375" t="s">
        <v>1290</v>
      </c>
      <c r="B1375" t="s">
        <v>1655</v>
      </c>
      <c r="C1375" s="1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  <c r="K1375" t="str">
        <f>TEXT(Table1[[#This Row],[PurchaseDate]],"mmm")</f>
        <v>May</v>
      </c>
      <c r="L1375">
        <f>YEAR(Table1[[#This Row],[PurchaseDate]])</f>
        <v>2025</v>
      </c>
      <c r="M1375" t="str">
        <f>IF(Table1[[#This Row],[TotalPrice]]&gt;2000,"High Sales","Low Sales")</f>
        <v>Low Sales</v>
      </c>
    </row>
    <row r="1376" spans="1:13" x14ac:dyDescent="0.3">
      <c r="A1376" t="s">
        <v>1291</v>
      </c>
      <c r="B1376" t="s">
        <v>1657</v>
      </c>
      <c r="C1376" s="1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  <c r="K1376" t="str">
        <f>TEXT(Table1[[#This Row],[PurchaseDate]],"mmm")</f>
        <v>Aug</v>
      </c>
      <c r="L1376">
        <f>YEAR(Table1[[#This Row],[PurchaseDate]])</f>
        <v>2023</v>
      </c>
      <c r="M1376" t="str">
        <f>IF(Table1[[#This Row],[TotalPrice]]&gt;2000,"High Sales","Low Sales")</f>
        <v>High Sales</v>
      </c>
    </row>
    <row r="1377" spans="1:13" x14ac:dyDescent="0.3">
      <c r="A1377" t="s">
        <v>1292</v>
      </c>
      <c r="B1377" t="s">
        <v>1652</v>
      </c>
      <c r="C1377" s="1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  <c r="K1377" t="str">
        <f>TEXT(Table1[[#This Row],[PurchaseDate]],"mmm")</f>
        <v>Sep</v>
      </c>
      <c r="L1377">
        <f>YEAR(Table1[[#This Row],[PurchaseDate]])</f>
        <v>2024</v>
      </c>
      <c r="M1377" t="str">
        <f>IF(Table1[[#This Row],[TotalPrice]]&gt;2000,"High Sales","Low Sales")</f>
        <v>Low Sales</v>
      </c>
    </row>
    <row r="1378" spans="1:13" x14ac:dyDescent="0.3">
      <c r="A1378" t="s">
        <v>1293</v>
      </c>
      <c r="B1378" t="s">
        <v>1654</v>
      </c>
      <c r="C1378" s="1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  <c r="K1378" t="str">
        <f>TEXT(Table1[[#This Row],[PurchaseDate]],"mmm")</f>
        <v>Jan</v>
      </c>
      <c r="L1378">
        <f>YEAR(Table1[[#This Row],[PurchaseDate]])</f>
        <v>2023</v>
      </c>
      <c r="M1378" t="str">
        <f>IF(Table1[[#This Row],[TotalPrice]]&gt;2000,"High Sales","Low Sales")</f>
        <v>Low Sales</v>
      </c>
    </row>
    <row r="1379" spans="1:13" x14ac:dyDescent="0.3">
      <c r="A1379" t="s">
        <v>1294</v>
      </c>
      <c r="B1379" t="s">
        <v>1655</v>
      </c>
      <c r="C1379" s="1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  <c r="K1379" t="str">
        <f>TEXT(Table1[[#This Row],[PurchaseDate]],"mmm")</f>
        <v>Mar</v>
      </c>
      <c r="L1379">
        <f>YEAR(Table1[[#This Row],[PurchaseDate]])</f>
        <v>2023</v>
      </c>
      <c r="M1379" t="str">
        <f>IF(Table1[[#This Row],[TotalPrice]]&gt;2000,"High Sales","Low Sales")</f>
        <v>Low Sales</v>
      </c>
    </row>
    <row r="1380" spans="1:13" x14ac:dyDescent="0.3">
      <c r="A1380" t="s">
        <v>1295</v>
      </c>
      <c r="B1380" t="s">
        <v>1653</v>
      </c>
      <c r="C1380" s="1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  <c r="K1380" t="str">
        <f>TEXT(Table1[[#This Row],[PurchaseDate]],"mmm")</f>
        <v>Jul</v>
      </c>
      <c r="L1380">
        <f>YEAR(Table1[[#This Row],[PurchaseDate]])</f>
        <v>2024</v>
      </c>
      <c r="M1380" t="str">
        <f>IF(Table1[[#This Row],[TotalPrice]]&gt;2000,"High Sales","Low Sales")</f>
        <v>High Sales</v>
      </c>
    </row>
    <row r="1381" spans="1:13" x14ac:dyDescent="0.3">
      <c r="A1381" t="s">
        <v>1296</v>
      </c>
      <c r="B1381" t="s">
        <v>1652</v>
      </c>
      <c r="C1381" s="1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  <c r="K1381" t="str">
        <f>TEXT(Table1[[#This Row],[PurchaseDate]],"mmm")</f>
        <v>Oct</v>
      </c>
      <c r="L1381">
        <f>YEAR(Table1[[#This Row],[PurchaseDate]])</f>
        <v>2024</v>
      </c>
      <c r="M1381" t="str">
        <f>IF(Table1[[#This Row],[TotalPrice]]&gt;2000,"High Sales","Low Sales")</f>
        <v>High Sales</v>
      </c>
    </row>
    <row r="1382" spans="1:13" x14ac:dyDescent="0.3">
      <c r="A1382" t="s">
        <v>1297</v>
      </c>
      <c r="B1382" t="s">
        <v>1654</v>
      </c>
      <c r="C1382" s="1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  <c r="K1382" t="str">
        <f>TEXT(Table1[[#This Row],[PurchaseDate]],"mmm")</f>
        <v>Feb</v>
      </c>
      <c r="L1382">
        <f>YEAR(Table1[[#This Row],[PurchaseDate]])</f>
        <v>2024</v>
      </c>
      <c r="M1382" t="str">
        <f>IF(Table1[[#This Row],[TotalPrice]]&gt;2000,"High Sales","Low Sales")</f>
        <v>Low Sales</v>
      </c>
    </row>
    <row r="1383" spans="1:13" x14ac:dyDescent="0.3">
      <c r="A1383" t="s">
        <v>1298</v>
      </c>
      <c r="B1383" t="s">
        <v>1657</v>
      </c>
      <c r="C1383" s="1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  <c r="K1383" t="str">
        <f>TEXT(Table1[[#This Row],[PurchaseDate]],"mmm")</f>
        <v>Sep</v>
      </c>
      <c r="L1383">
        <f>YEAR(Table1[[#This Row],[PurchaseDate]])</f>
        <v>2023</v>
      </c>
      <c r="M1383" t="str">
        <f>IF(Table1[[#This Row],[TotalPrice]]&gt;2000,"High Sales","Low Sales")</f>
        <v>Low Sales</v>
      </c>
    </row>
    <row r="1384" spans="1:13" x14ac:dyDescent="0.3">
      <c r="A1384" t="s">
        <v>1299</v>
      </c>
      <c r="B1384" t="s">
        <v>1656</v>
      </c>
      <c r="C1384" s="1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  <c r="K1384" t="str">
        <f>TEXT(Table1[[#This Row],[PurchaseDate]],"mmm")</f>
        <v>Dec</v>
      </c>
      <c r="L1384">
        <f>YEAR(Table1[[#This Row],[PurchaseDate]])</f>
        <v>2024</v>
      </c>
      <c r="M1384" t="str">
        <f>IF(Table1[[#This Row],[TotalPrice]]&gt;2000,"High Sales","Low Sales")</f>
        <v>Low Sales</v>
      </c>
    </row>
    <row r="1385" spans="1:13" x14ac:dyDescent="0.3">
      <c r="A1385" t="s">
        <v>1300</v>
      </c>
      <c r="B1385" t="s">
        <v>1655</v>
      </c>
      <c r="C1385" s="1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  <c r="K1385" t="str">
        <f>TEXT(Table1[[#This Row],[PurchaseDate]],"mmm")</f>
        <v>Dec</v>
      </c>
      <c r="L1385">
        <f>YEAR(Table1[[#This Row],[PurchaseDate]])</f>
        <v>2023</v>
      </c>
      <c r="M1385" t="str">
        <f>IF(Table1[[#This Row],[TotalPrice]]&gt;2000,"High Sales","Low Sales")</f>
        <v>High Sales</v>
      </c>
    </row>
    <row r="1386" spans="1:13" x14ac:dyDescent="0.3">
      <c r="A1386" t="s">
        <v>1301</v>
      </c>
      <c r="B1386" t="s">
        <v>1656</v>
      </c>
      <c r="C1386" s="1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  <c r="K1386" t="str">
        <f>TEXT(Table1[[#This Row],[PurchaseDate]],"mmm")</f>
        <v>May</v>
      </c>
      <c r="L1386">
        <f>YEAR(Table1[[#This Row],[PurchaseDate]])</f>
        <v>2025</v>
      </c>
      <c r="M1386" t="str">
        <f>IF(Table1[[#This Row],[TotalPrice]]&gt;2000,"High Sales","Low Sales")</f>
        <v>Low Sales</v>
      </c>
    </row>
    <row r="1387" spans="1:13" x14ac:dyDescent="0.3">
      <c r="A1387" t="s">
        <v>1302</v>
      </c>
      <c r="B1387" t="s">
        <v>1656</v>
      </c>
      <c r="C1387" s="1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  <c r="K1387" t="str">
        <f>TEXT(Table1[[#This Row],[PurchaseDate]],"mmm")</f>
        <v>Dec</v>
      </c>
      <c r="L1387">
        <f>YEAR(Table1[[#This Row],[PurchaseDate]])</f>
        <v>2023</v>
      </c>
      <c r="M1387" t="str">
        <f>IF(Table1[[#This Row],[TotalPrice]]&gt;2000,"High Sales","Low Sales")</f>
        <v>Low Sales</v>
      </c>
    </row>
    <row r="1388" spans="1:13" x14ac:dyDescent="0.3">
      <c r="A1388" t="s">
        <v>1303</v>
      </c>
      <c r="B1388" t="s">
        <v>1653</v>
      </c>
      <c r="C1388" s="1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  <c r="K1388" t="str">
        <f>TEXT(Table1[[#This Row],[PurchaseDate]],"mmm")</f>
        <v>Aug</v>
      </c>
      <c r="L1388">
        <f>YEAR(Table1[[#This Row],[PurchaseDate]])</f>
        <v>2023</v>
      </c>
      <c r="M1388" t="str">
        <f>IF(Table1[[#This Row],[TotalPrice]]&gt;2000,"High Sales","Low Sales")</f>
        <v>Low Sales</v>
      </c>
    </row>
    <row r="1389" spans="1:13" x14ac:dyDescent="0.3">
      <c r="A1389" t="s">
        <v>1304</v>
      </c>
      <c r="B1389" t="s">
        <v>1657</v>
      </c>
      <c r="C1389" s="1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  <c r="K1389" t="str">
        <f>TEXT(Table1[[#This Row],[PurchaseDate]],"mmm")</f>
        <v>Oct</v>
      </c>
      <c r="L1389">
        <f>YEAR(Table1[[#This Row],[PurchaseDate]])</f>
        <v>2023</v>
      </c>
      <c r="M1389" t="str">
        <f>IF(Table1[[#This Row],[TotalPrice]]&gt;2000,"High Sales","Low Sales")</f>
        <v>High Sales</v>
      </c>
    </row>
    <row r="1390" spans="1:13" x14ac:dyDescent="0.3">
      <c r="A1390" t="s">
        <v>1305</v>
      </c>
      <c r="B1390" t="s">
        <v>1658</v>
      </c>
      <c r="C1390" s="1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  <c r="K1390" t="str">
        <f>TEXT(Table1[[#This Row],[PurchaseDate]],"mmm")</f>
        <v>Feb</v>
      </c>
      <c r="L1390">
        <f>YEAR(Table1[[#This Row],[PurchaseDate]])</f>
        <v>2025</v>
      </c>
      <c r="M1390" t="str">
        <f>IF(Table1[[#This Row],[TotalPrice]]&gt;2000,"High Sales","Low Sales")</f>
        <v>Low Sales</v>
      </c>
    </row>
    <row r="1391" spans="1:13" x14ac:dyDescent="0.3">
      <c r="A1391" t="s">
        <v>1306</v>
      </c>
      <c r="B1391" t="s">
        <v>1658</v>
      </c>
      <c r="C1391" s="1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  <c r="K1391" t="str">
        <f>TEXT(Table1[[#This Row],[PurchaseDate]],"mmm")</f>
        <v>Nov</v>
      </c>
      <c r="L1391">
        <f>YEAR(Table1[[#This Row],[PurchaseDate]])</f>
        <v>2023</v>
      </c>
      <c r="M1391" t="str">
        <f>IF(Table1[[#This Row],[TotalPrice]]&gt;2000,"High Sales","Low Sales")</f>
        <v>Low Sales</v>
      </c>
    </row>
    <row r="1392" spans="1:13" x14ac:dyDescent="0.3">
      <c r="A1392" t="s">
        <v>1307</v>
      </c>
      <c r="B1392" t="s">
        <v>1653</v>
      </c>
      <c r="C1392" s="1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  <c r="K1392" t="str">
        <f>TEXT(Table1[[#This Row],[PurchaseDate]],"mmm")</f>
        <v>May</v>
      </c>
      <c r="L1392">
        <f>YEAR(Table1[[#This Row],[PurchaseDate]])</f>
        <v>2023</v>
      </c>
      <c r="M1392" t="str">
        <f>IF(Table1[[#This Row],[TotalPrice]]&gt;2000,"High Sales","Low Sales")</f>
        <v>Low Sales</v>
      </c>
    </row>
    <row r="1393" spans="1:13" x14ac:dyDescent="0.3">
      <c r="A1393" t="s">
        <v>1308</v>
      </c>
      <c r="B1393" t="s">
        <v>1657</v>
      </c>
      <c r="C1393" s="1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  <c r="K1393" t="str">
        <f>TEXT(Table1[[#This Row],[PurchaseDate]],"mmm")</f>
        <v>Feb</v>
      </c>
      <c r="L1393">
        <f>YEAR(Table1[[#This Row],[PurchaseDate]])</f>
        <v>2024</v>
      </c>
      <c r="M1393" t="str">
        <f>IF(Table1[[#This Row],[TotalPrice]]&gt;2000,"High Sales","Low Sales")</f>
        <v>High Sales</v>
      </c>
    </row>
    <row r="1394" spans="1:13" x14ac:dyDescent="0.3">
      <c r="A1394" t="s">
        <v>1309</v>
      </c>
      <c r="B1394" t="s">
        <v>1657</v>
      </c>
      <c r="C1394" s="1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  <c r="K1394" t="str">
        <f>TEXT(Table1[[#This Row],[PurchaseDate]],"mmm")</f>
        <v>Nov</v>
      </c>
      <c r="L1394">
        <f>YEAR(Table1[[#This Row],[PurchaseDate]])</f>
        <v>2023</v>
      </c>
      <c r="M1394" t="str">
        <f>IF(Table1[[#This Row],[TotalPrice]]&gt;2000,"High Sales","Low Sales")</f>
        <v>Low Sales</v>
      </c>
    </row>
    <row r="1395" spans="1:13" x14ac:dyDescent="0.3">
      <c r="A1395" t="s">
        <v>1310</v>
      </c>
      <c r="B1395" t="s">
        <v>1655</v>
      </c>
      <c r="C1395" s="1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  <c r="K1395" t="str">
        <f>TEXT(Table1[[#This Row],[PurchaseDate]],"mmm")</f>
        <v>Feb</v>
      </c>
      <c r="L1395">
        <f>YEAR(Table1[[#This Row],[PurchaseDate]])</f>
        <v>2025</v>
      </c>
      <c r="M1395" t="str">
        <f>IF(Table1[[#This Row],[TotalPrice]]&gt;2000,"High Sales","Low Sales")</f>
        <v>High Sales</v>
      </c>
    </row>
    <row r="1396" spans="1:13" x14ac:dyDescent="0.3">
      <c r="A1396" t="s">
        <v>1311</v>
      </c>
      <c r="B1396" t="s">
        <v>1654</v>
      </c>
      <c r="C1396" s="1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  <c r="K1396" t="str">
        <f>TEXT(Table1[[#This Row],[PurchaseDate]],"mmm")</f>
        <v>Apr</v>
      </c>
      <c r="L1396">
        <f>YEAR(Table1[[#This Row],[PurchaseDate]])</f>
        <v>2024</v>
      </c>
      <c r="M1396" t="str">
        <f>IF(Table1[[#This Row],[TotalPrice]]&gt;2000,"High Sales","Low Sales")</f>
        <v>Low Sales</v>
      </c>
    </row>
    <row r="1397" spans="1:13" x14ac:dyDescent="0.3">
      <c r="A1397" t="s">
        <v>339</v>
      </c>
      <c r="B1397" t="s">
        <v>1654</v>
      </c>
      <c r="C1397" s="1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  <c r="K1397" t="str">
        <f>TEXT(Table1[[#This Row],[PurchaseDate]],"mmm")</f>
        <v>Dec</v>
      </c>
      <c r="L1397">
        <f>YEAR(Table1[[#This Row],[PurchaseDate]])</f>
        <v>2023</v>
      </c>
      <c r="M1397" t="str">
        <f>IF(Table1[[#This Row],[TotalPrice]]&gt;2000,"High Sales","Low Sales")</f>
        <v>Low Sales</v>
      </c>
    </row>
    <row r="1398" spans="1:13" x14ac:dyDescent="0.3">
      <c r="A1398" t="s">
        <v>1312</v>
      </c>
      <c r="B1398" t="s">
        <v>1656</v>
      </c>
      <c r="C1398" s="1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  <c r="K1398" t="str">
        <f>TEXT(Table1[[#This Row],[PurchaseDate]],"mmm")</f>
        <v>May</v>
      </c>
      <c r="L1398">
        <f>YEAR(Table1[[#This Row],[PurchaseDate]])</f>
        <v>2024</v>
      </c>
      <c r="M1398" t="str">
        <f>IF(Table1[[#This Row],[TotalPrice]]&gt;2000,"High Sales","Low Sales")</f>
        <v>Low Sales</v>
      </c>
    </row>
    <row r="1399" spans="1:13" x14ac:dyDescent="0.3">
      <c r="A1399" t="s">
        <v>1313</v>
      </c>
      <c r="B1399" t="s">
        <v>1656</v>
      </c>
      <c r="C1399" s="1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  <c r="K1399" t="str">
        <f>TEXT(Table1[[#This Row],[PurchaseDate]],"mmm")</f>
        <v>Mar</v>
      </c>
      <c r="L1399">
        <f>YEAR(Table1[[#This Row],[PurchaseDate]])</f>
        <v>2025</v>
      </c>
      <c r="M1399" t="str">
        <f>IF(Table1[[#This Row],[TotalPrice]]&gt;2000,"High Sales","Low Sales")</f>
        <v>Low Sales</v>
      </c>
    </row>
    <row r="1400" spans="1:13" x14ac:dyDescent="0.3">
      <c r="A1400" t="s">
        <v>1314</v>
      </c>
      <c r="B1400" t="s">
        <v>1658</v>
      </c>
      <c r="C1400" s="1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  <c r="K1400" t="str">
        <f>TEXT(Table1[[#This Row],[PurchaseDate]],"mmm")</f>
        <v>Mar</v>
      </c>
      <c r="L1400">
        <f>YEAR(Table1[[#This Row],[PurchaseDate]])</f>
        <v>2024</v>
      </c>
      <c r="M1400" t="str">
        <f>IF(Table1[[#This Row],[TotalPrice]]&gt;2000,"High Sales","Low Sales")</f>
        <v>Low Sales</v>
      </c>
    </row>
    <row r="1401" spans="1:13" x14ac:dyDescent="0.3">
      <c r="A1401" t="s">
        <v>1315</v>
      </c>
      <c r="B1401" t="s">
        <v>1656</v>
      </c>
      <c r="C1401" s="1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  <c r="K1401" t="str">
        <f>TEXT(Table1[[#This Row],[PurchaseDate]],"mmm")</f>
        <v>Mar</v>
      </c>
      <c r="L1401">
        <f>YEAR(Table1[[#This Row],[PurchaseDate]])</f>
        <v>2025</v>
      </c>
      <c r="M1401" t="str">
        <f>IF(Table1[[#This Row],[TotalPrice]]&gt;2000,"High Sales","Low Sales")</f>
        <v>Low Sales</v>
      </c>
    </row>
    <row r="1402" spans="1:13" x14ac:dyDescent="0.3">
      <c r="A1402" t="s">
        <v>761</v>
      </c>
      <c r="B1402" t="s">
        <v>1656</v>
      </c>
      <c r="C1402" s="1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  <c r="K1402" t="str">
        <f>TEXT(Table1[[#This Row],[PurchaseDate]],"mmm")</f>
        <v>Dec</v>
      </c>
      <c r="L1402">
        <f>YEAR(Table1[[#This Row],[PurchaseDate]])</f>
        <v>2024</v>
      </c>
      <c r="M1402" t="str">
        <f>IF(Table1[[#This Row],[TotalPrice]]&gt;2000,"High Sales","Low Sales")</f>
        <v>High Sales</v>
      </c>
    </row>
    <row r="1403" spans="1:13" x14ac:dyDescent="0.3">
      <c r="A1403" t="s">
        <v>1316</v>
      </c>
      <c r="B1403" t="s">
        <v>1654</v>
      </c>
      <c r="C1403" s="1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  <c r="K1403" t="str">
        <f>TEXT(Table1[[#This Row],[PurchaseDate]],"mmm")</f>
        <v>May</v>
      </c>
      <c r="L1403">
        <f>YEAR(Table1[[#This Row],[PurchaseDate]])</f>
        <v>2024</v>
      </c>
      <c r="M1403" t="str">
        <f>IF(Table1[[#This Row],[TotalPrice]]&gt;2000,"High Sales","Low Sales")</f>
        <v>Low Sales</v>
      </c>
    </row>
    <row r="1404" spans="1:13" x14ac:dyDescent="0.3">
      <c r="A1404" t="s">
        <v>1317</v>
      </c>
      <c r="B1404" t="s">
        <v>1653</v>
      </c>
      <c r="C1404" s="1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  <c r="K1404" t="str">
        <f>TEXT(Table1[[#This Row],[PurchaseDate]],"mmm")</f>
        <v>Feb</v>
      </c>
      <c r="L1404">
        <f>YEAR(Table1[[#This Row],[PurchaseDate]])</f>
        <v>2024</v>
      </c>
      <c r="M1404" t="str">
        <f>IF(Table1[[#This Row],[TotalPrice]]&gt;2000,"High Sales","Low Sales")</f>
        <v>High Sales</v>
      </c>
    </row>
    <row r="1405" spans="1:13" x14ac:dyDescent="0.3">
      <c r="A1405" t="s">
        <v>949</v>
      </c>
      <c r="B1405" t="s">
        <v>1652</v>
      </c>
      <c r="C1405" s="1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  <c r="K1405" t="str">
        <f>TEXT(Table1[[#This Row],[PurchaseDate]],"mmm")</f>
        <v>May</v>
      </c>
      <c r="L1405">
        <f>YEAR(Table1[[#This Row],[PurchaseDate]])</f>
        <v>2023</v>
      </c>
      <c r="M1405" t="str">
        <f>IF(Table1[[#This Row],[TotalPrice]]&gt;2000,"High Sales","Low Sales")</f>
        <v>High Sales</v>
      </c>
    </row>
    <row r="1406" spans="1:13" x14ac:dyDescent="0.3">
      <c r="A1406" t="s">
        <v>246</v>
      </c>
      <c r="B1406" t="s">
        <v>1653</v>
      </c>
      <c r="C1406" s="1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  <c r="K1406" t="str">
        <f>TEXT(Table1[[#This Row],[PurchaseDate]],"mmm")</f>
        <v>Jan</v>
      </c>
      <c r="L1406">
        <f>YEAR(Table1[[#This Row],[PurchaseDate]])</f>
        <v>2025</v>
      </c>
      <c r="M1406" t="str">
        <f>IF(Table1[[#This Row],[TotalPrice]]&gt;2000,"High Sales","Low Sales")</f>
        <v>High Sales</v>
      </c>
    </row>
    <row r="1407" spans="1:13" x14ac:dyDescent="0.3">
      <c r="A1407" t="s">
        <v>1318</v>
      </c>
      <c r="B1407" t="s">
        <v>1658</v>
      </c>
      <c r="C1407" s="1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  <c r="K1407" t="str">
        <f>TEXT(Table1[[#This Row],[PurchaseDate]],"mmm")</f>
        <v>Apr</v>
      </c>
      <c r="L1407">
        <f>YEAR(Table1[[#This Row],[PurchaseDate]])</f>
        <v>2025</v>
      </c>
      <c r="M1407" t="str">
        <f>IF(Table1[[#This Row],[TotalPrice]]&gt;2000,"High Sales","Low Sales")</f>
        <v>Low Sales</v>
      </c>
    </row>
    <row r="1408" spans="1:13" x14ac:dyDescent="0.3">
      <c r="A1408" t="s">
        <v>1319</v>
      </c>
      <c r="B1408" t="s">
        <v>1654</v>
      </c>
      <c r="C1408" s="1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  <c r="K1408" t="str">
        <f>TEXT(Table1[[#This Row],[PurchaseDate]],"mmm")</f>
        <v>Apr</v>
      </c>
      <c r="L1408">
        <f>YEAR(Table1[[#This Row],[PurchaseDate]])</f>
        <v>2023</v>
      </c>
      <c r="M1408" t="str">
        <f>IF(Table1[[#This Row],[TotalPrice]]&gt;2000,"High Sales","Low Sales")</f>
        <v>Low Sales</v>
      </c>
    </row>
    <row r="1409" spans="1:13" x14ac:dyDescent="0.3">
      <c r="A1409" t="s">
        <v>1320</v>
      </c>
      <c r="B1409" t="s">
        <v>1657</v>
      </c>
      <c r="C1409" s="1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  <c r="K1409" t="str">
        <f>TEXT(Table1[[#This Row],[PurchaseDate]],"mmm")</f>
        <v>Aug</v>
      </c>
      <c r="L1409">
        <f>YEAR(Table1[[#This Row],[PurchaseDate]])</f>
        <v>2023</v>
      </c>
      <c r="M1409" t="str">
        <f>IF(Table1[[#This Row],[TotalPrice]]&gt;2000,"High Sales","Low Sales")</f>
        <v>High Sales</v>
      </c>
    </row>
    <row r="1410" spans="1:13" x14ac:dyDescent="0.3">
      <c r="A1410" t="s">
        <v>1321</v>
      </c>
      <c r="B1410" t="s">
        <v>1653</v>
      </c>
      <c r="C1410" s="1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  <c r="K1410" t="str">
        <f>TEXT(Table1[[#This Row],[PurchaseDate]],"mmm")</f>
        <v>May</v>
      </c>
      <c r="L1410">
        <f>YEAR(Table1[[#This Row],[PurchaseDate]])</f>
        <v>2024</v>
      </c>
      <c r="M1410" t="str">
        <f>IF(Table1[[#This Row],[TotalPrice]]&gt;2000,"High Sales","Low Sales")</f>
        <v>Low Sales</v>
      </c>
    </row>
    <row r="1411" spans="1:13" x14ac:dyDescent="0.3">
      <c r="A1411" t="s">
        <v>1322</v>
      </c>
      <c r="B1411" t="s">
        <v>1653</v>
      </c>
      <c r="C1411" s="1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  <c r="K1411" t="str">
        <f>TEXT(Table1[[#This Row],[PurchaseDate]],"mmm")</f>
        <v>May</v>
      </c>
      <c r="L1411">
        <f>YEAR(Table1[[#This Row],[PurchaseDate]])</f>
        <v>2025</v>
      </c>
      <c r="M1411" t="str">
        <f>IF(Table1[[#This Row],[TotalPrice]]&gt;2000,"High Sales","Low Sales")</f>
        <v>Low Sales</v>
      </c>
    </row>
    <row r="1412" spans="1:13" x14ac:dyDescent="0.3">
      <c r="A1412" t="s">
        <v>1323</v>
      </c>
      <c r="B1412" t="s">
        <v>1657</v>
      </c>
      <c r="C1412" s="1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  <c r="K1412" t="str">
        <f>TEXT(Table1[[#This Row],[PurchaseDate]],"mmm")</f>
        <v>Feb</v>
      </c>
      <c r="L1412">
        <f>YEAR(Table1[[#This Row],[PurchaseDate]])</f>
        <v>2023</v>
      </c>
      <c r="M1412" t="str">
        <f>IF(Table1[[#This Row],[TotalPrice]]&gt;2000,"High Sales","Low Sales")</f>
        <v>Low Sales</v>
      </c>
    </row>
    <row r="1413" spans="1:13" x14ac:dyDescent="0.3">
      <c r="A1413" t="s">
        <v>361</v>
      </c>
      <c r="B1413" t="s">
        <v>1657</v>
      </c>
      <c r="C1413" s="1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  <c r="K1413" t="str">
        <f>TEXT(Table1[[#This Row],[PurchaseDate]],"mmm")</f>
        <v>Apr</v>
      </c>
      <c r="L1413">
        <f>YEAR(Table1[[#This Row],[PurchaseDate]])</f>
        <v>2023</v>
      </c>
      <c r="M1413" t="str">
        <f>IF(Table1[[#This Row],[TotalPrice]]&gt;2000,"High Sales","Low Sales")</f>
        <v>Low Sales</v>
      </c>
    </row>
    <row r="1414" spans="1:13" x14ac:dyDescent="0.3">
      <c r="A1414" t="s">
        <v>1324</v>
      </c>
      <c r="B1414" t="s">
        <v>1652</v>
      </c>
      <c r="C1414" s="1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  <c r="K1414" t="str">
        <f>TEXT(Table1[[#This Row],[PurchaseDate]],"mmm")</f>
        <v>Aug</v>
      </c>
      <c r="L1414">
        <f>YEAR(Table1[[#This Row],[PurchaseDate]])</f>
        <v>2023</v>
      </c>
      <c r="M1414" t="str">
        <f>IF(Table1[[#This Row],[TotalPrice]]&gt;2000,"High Sales","Low Sales")</f>
        <v>High Sales</v>
      </c>
    </row>
    <row r="1415" spans="1:13" x14ac:dyDescent="0.3">
      <c r="A1415" t="s">
        <v>730</v>
      </c>
      <c r="B1415" t="s">
        <v>1652</v>
      </c>
      <c r="C1415" s="1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  <c r="K1415" t="str">
        <f>TEXT(Table1[[#This Row],[PurchaseDate]],"mmm")</f>
        <v>Aug</v>
      </c>
      <c r="L1415">
        <f>YEAR(Table1[[#This Row],[PurchaseDate]])</f>
        <v>2024</v>
      </c>
      <c r="M1415" t="str">
        <f>IF(Table1[[#This Row],[TotalPrice]]&gt;2000,"High Sales","Low Sales")</f>
        <v>Low Sales</v>
      </c>
    </row>
    <row r="1416" spans="1:13" x14ac:dyDescent="0.3">
      <c r="A1416" t="s">
        <v>738</v>
      </c>
      <c r="B1416" t="s">
        <v>1656</v>
      </c>
      <c r="C1416" s="1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  <c r="K1416" t="str">
        <f>TEXT(Table1[[#This Row],[PurchaseDate]],"mmm")</f>
        <v>Aug</v>
      </c>
      <c r="L1416">
        <f>YEAR(Table1[[#This Row],[PurchaseDate]])</f>
        <v>2023</v>
      </c>
      <c r="M1416" t="str">
        <f>IF(Table1[[#This Row],[TotalPrice]]&gt;2000,"High Sales","Low Sales")</f>
        <v>Low Sales</v>
      </c>
    </row>
    <row r="1417" spans="1:13" x14ac:dyDescent="0.3">
      <c r="A1417" t="s">
        <v>1033</v>
      </c>
      <c r="B1417" t="s">
        <v>1652</v>
      </c>
      <c r="C1417" s="1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  <c r="K1417" t="str">
        <f>TEXT(Table1[[#This Row],[PurchaseDate]],"mmm")</f>
        <v>Jun</v>
      </c>
      <c r="L1417">
        <f>YEAR(Table1[[#This Row],[PurchaseDate]])</f>
        <v>2025</v>
      </c>
      <c r="M1417" t="str">
        <f>IF(Table1[[#This Row],[TotalPrice]]&gt;2000,"High Sales","Low Sales")</f>
        <v>Low Sales</v>
      </c>
    </row>
    <row r="1418" spans="1:13" x14ac:dyDescent="0.3">
      <c r="A1418" t="s">
        <v>1325</v>
      </c>
      <c r="B1418" t="s">
        <v>1656</v>
      </c>
      <c r="C1418" s="1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  <c r="K1418" t="str">
        <f>TEXT(Table1[[#This Row],[PurchaseDate]],"mmm")</f>
        <v>Jun</v>
      </c>
      <c r="L1418">
        <f>YEAR(Table1[[#This Row],[PurchaseDate]])</f>
        <v>2025</v>
      </c>
      <c r="M1418" t="str">
        <f>IF(Table1[[#This Row],[TotalPrice]]&gt;2000,"High Sales","Low Sales")</f>
        <v>Low Sales</v>
      </c>
    </row>
    <row r="1419" spans="1:13" x14ac:dyDescent="0.3">
      <c r="A1419" t="s">
        <v>1326</v>
      </c>
      <c r="B1419" t="s">
        <v>1657</v>
      </c>
      <c r="C1419" s="1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  <c r="K1419" t="str">
        <f>TEXT(Table1[[#This Row],[PurchaseDate]],"mmm")</f>
        <v>Nov</v>
      </c>
      <c r="L1419">
        <f>YEAR(Table1[[#This Row],[PurchaseDate]])</f>
        <v>2024</v>
      </c>
      <c r="M1419" t="str">
        <f>IF(Table1[[#This Row],[TotalPrice]]&gt;2000,"High Sales","Low Sales")</f>
        <v>Low Sales</v>
      </c>
    </row>
    <row r="1420" spans="1:13" x14ac:dyDescent="0.3">
      <c r="A1420" t="s">
        <v>1327</v>
      </c>
      <c r="B1420" t="s">
        <v>1652</v>
      </c>
      <c r="C1420" s="1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  <c r="K1420" t="str">
        <f>TEXT(Table1[[#This Row],[PurchaseDate]],"mmm")</f>
        <v>Jul</v>
      </c>
      <c r="L1420">
        <f>YEAR(Table1[[#This Row],[PurchaseDate]])</f>
        <v>2023</v>
      </c>
      <c r="M1420" t="str">
        <f>IF(Table1[[#This Row],[TotalPrice]]&gt;2000,"High Sales","Low Sales")</f>
        <v>High Sales</v>
      </c>
    </row>
    <row r="1421" spans="1:13" x14ac:dyDescent="0.3">
      <c r="A1421" t="s">
        <v>1328</v>
      </c>
      <c r="B1421" t="s">
        <v>1654</v>
      </c>
      <c r="C1421" s="1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  <c r="K1421" t="str">
        <f>TEXT(Table1[[#This Row],[PurchaseDate]],"mmm")</f>
        <v>Jan</v>
      </c>
      <c r="L1421">
        <f>YEAR(Table1[[#This Row],[PurchaseDate]])</f>
        <v>2025</v>
      </c>
      <c r="M1421" t="str">
        <f>IF(Table1[[#This Row],[TotalPrice]]&gt;2000,"High Sales","Low Sales")</f>
        <v>Low Sales</v>
      </c>
    </row>
    <row r="1422" spans="1:13" x14ac:dyDescent="0.3">
      <c r="A1422" t="s">
        <v>785</v>
      </c>
      <c r="B1422" t="s">
        <v>1656</v>
      </c>
      <c r="C1422" s="1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  <c r="K1422" t="str">
        <f>TEXT(Table1[[#This Row],[PurchaseDate]],"mmm")</f>
        <v>Jan</v>
      </c>
      <c r="L1422">
        <f>YEAR(Table1[[#This Row],[PurchaseDate]])</f>
        <v>2025</v>
      </c>
      <c r="M1422" t="str">
        <f>IF(Table1[[#This Row],[TotalPrice]]&gt;2000,"High Sales","Low Sales")</f>
        <v>High Sales</v>
      </c>
    </row>
    <row r="1423" spans="1:13" x14ac:dyDescent="0.3">
      <c r="A1423" t="s">
        <v>716</v>
      </c>
      <c r="B1423" t="s">
        <v>1654</v>
      </c>
      <c r="C1423" s="1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  <c r="K1423" t="str">
        <f>TEXT(Table1[[#This Row],[PurchaseDate]],"mmm")</f>
        <v>Nov</v>
      </c>
      <c r="L1423">
        <f>YEAR(Table1[[#This Row],[PurchaseDate]])</f>
        <v>2024</v>
      </c>
      <c r="M1423" t="str">
        <f>IF(Table1[[#This Row],[TotalPrice]]&gt;2000,"High Sales","Low Sales")</f>
        <v>Low Sales</v>
      </c>
    </row>
    <row r="1424" spans="1:13" x14ac:dyDescent="0.3">
      <c r="A1424" t="s">
        <v>1329</v>
      </c>
      <c r="B1424" t="s">
        <v>1655</v>
      </c>
      <c r="C1424" s="1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  <c r="K1424" t="str">
        <f>TEXT(Table1[[#This Row],[PurchaseDate]],"mmm")</f>
        <v>Mar</v>
      </c>
      <c r="L1424">
        <f>YEAR(Table1[[#This Row],[PurchaseDate]])</f>
        <v>2023</v>
      </c>
      <c r="M1424" t="str">
        <f>IF(Table1[[#This Row],[TotalPrice]]&gt;2000,"High Sales","Low Sales")</f>
        <v>High Sales</v>
      </c>
    </row>
    <row r="1425" spans="1:13" x14ac:dyDescent="0.3">
      <c r="A1425" t="s">
        <v>1330</v>
      </c>
      <c r="B1425" t="s">
        <v>1653</v>
      </c>
      <c r="C1425" s="1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  <c r="K1425" t="str">
        <f>TEXT(Table1[[#This Row],[PurchaseDate]],"mmm")</f>
        <v>Apr</v>
      </c>
      <c r="L1425">
        <f>YEAR(Table1[[#This Row],[PurchaseDate]])</f>
        <v>2023</v>
      </c>
      <c r="M1425" t="str">
        <f>IF(Table1[[#This Row],[TotalPrice]]&gt;2000,"High Sales","Low Sales")</f>
        <v>Low Sales</v>
      </c>
    </row>
    <row r="1426" spans="1:13" x14ac:dyDescent="0.3">
      <c r="A1426" t="s">
        <v>1331</v>
      </c>
      <c r="B1426" t="s">
        <v>1653</v>
      </c>
      <c r="C1426" s="1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  <c r="K1426" t="str">
        <f>TEXT(Table1[[#This Row],[PurchaseDate]],"mmm")</f>
        <v>Nov</v>
      </c>
      <c r="L1426">
        <f>YEAR(Table1[[#This Row],[PurchaseDate]])</f>
        <v>2023</v>
      </c>
      <c r="M1426" t="str">
        <f>IF(Table1[[#This Row],[TotalPrice]]&gt;2000,"High Sales","Low Sales")</f>
        <v>Low Sales</v>
      </c>
    </row>
    <row r="1427" spans="1:13" x14ac:dyDescent="0.3">
      <c r="A1427" t="s">
        <v>1332</v>
      </c>
      <c r="B1427" t="s">
        <v>1658</v>
      </c>
      <c r="C1427" s="1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  <c r="K1427" t="str">
        <f>TEXT(Table1[[#This Row],[PurchaseDate]],"mmm")</f>
        <v>Apr</v>
      </c>
      <c r="L1427">
        <f>YEAR(Table1[[#This Row],[PurchaseDate]])</f>
        <v>2025</v>
      </c>
      <c r="M1427" t="str">
        <f>IF(Table1[[#This Row],[TotalPrice]]&gt;2000,"High Sales","Low Sales")</f>
        <v>Low Sales</v>
      </c>
    </row>
    <row r="1428" spans="1:13" x14ac:dyDescent="0.3">
      <c r="A1428" t="s">
        <v>1333</v>
      </c>
      <c r="B1428" t="s">
        <v>1652</v>
      </c>
      <c r="C1428" s="1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  <c r="K1428" t="str">
        <f>TEXT(Table1[[#This Row],[PurchaseDate]],"mmm")</f>
        <v>Apr</v>
      </c>
      <c r="L1428">
        <f>YEAR(Table1[[#This Row],[PurchaseDate]])</f>
        <v>2023</v>
      </c>
      <c r="M1428" t="str">
        <f>IF(Table1[[#This Row],[TotalPrice]]&gt;2000,"High Sales","Low Sales")</f>
        <v>Low Sales</v>
      </c>
    </row>
    <row r="1429" spans="1:13" x14ac:dyDescent="0.3">
      <c r="A1429" t="s">
        <v>1334</v>
      </c>
      <c r="B1429" t="s">
        <v>1657</v>
      </c>
      <c r="C1429" s="1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  <c r="K1429" t="str">
        <f>TEXT(Table1[[#This Row],[PurchaseDate]],"mmm")</f>
        <v>Jan</v>
      </c>
      <c r="L1429">
        <f>YEAR(Table1[[#This Row],[PurchaseDate]])</f>
        <v>2023</v>
      </c>
      <c r="M1429" t="str">
        <f>IF(Table1[[#This Row],[TotalPrice]]&gt;2000,"High Sales","Low Sales")</f>
        <v>High Sales</v>
      </c>
    </row>
    <row r="1430" spans="1:13" x14ac:dyDescent="0.3">
      <c r="A1430" t="s">
        <v>1335</v>
      </c>
      <c r="B1430" t="s">
        <v>1655</v>
      </c>
      <c r="C1430" s="1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  <c r="K1430" t="str">
        <f>TEXT(Table1[[#This Row],[PurchaseDate]],"mmm")</f>
        <v>Feb</v>
      </c>
      <c r="L1430">
        <f>YEAR(Table1[[#This Row],[PurchaseDate]])</f>
        <v>2024</v>
      </c>
      <c r="M1430" t="str">
        <f>IF(Table1[[#This Row],[TotalPrice]]&gt;2000,"High Sales","Low Sales")</f>
        <v>High Sales</v>
      </c>
    </row>
    <row r="1431" spans="1:13" x14ac:dyDescent="0.3">
      <c r="A1431" t="s">
        <v>1336</v>
      </c>
      <c r="B1431" t="s">
        <v>1653</v>
      </c>
      <c r="C1431" s="1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  <c r="K1431" t="str">
        <f>TEXT(Table1[[#This Row],[PurchaseDate]],"mmm")</f>
        <v>Apr</v>
      </c>
      <c r="L1431">
        <f>YEAR(Table1[[#This Row],[PurchaseDate]])</f>
        <v>2025</v>
      </c>
      <c r="M1431" t="str">
        <f>IF(Table1[[#This Row],[TotalPrice]]&gt;2000,"High Sales","Low Sales")</f>
        <v>Low Sales</v>
      </c>
    </row>
    <row r="1432" spans="1:13" x14ac:dyDescent="0.3">
      <c r="A1432" t="s">
        <v>1337</v>
      </c>
      <c r="B1432" t="s">
        <v>1657</v>
      </c>
      <c r="C1432" s="1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  <c r="K1432" t="str">
        <f>TEXT(Table1[[#This Row],[PurchaseDate]],"mmm")</f>
        <v>Oct</v>
      </c>
      <c r="L1432">
        <f>YEAR(Table1[[#This Row],[PurchaseDate]])</f>
        <v>2023</v>
      </c>
      <c r="M1432" t="str">
        <f>IF(Table1[[#This Row],[TotalPrice]]&gt;2000,"High Sales","Low Sales")</f>
        <v>Low Sales</v>
      </c>
    </row>
    <row r="1433" spans="1:13" x14ac:dyDescent="0.3">
      <c r="A1433" t="s">
        <v>1338</v>
      </c>
      <c r="B1433" t="s">
        <v>1657</v>
      </c>
      <c r="C1433" s="1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  <c r="K1433" t="str">
        <f>TEXT(Table1[[#This Row],[PurchaseDate]],"mmm")</f>
        <v>Jun</v>
      </c>
      <c r="L1433">
        <f>YEAR(Table1[[#This Row],[PurchaseDate]])</f>
        <v>2025</v>
      </c>
      <c r="M1433" t="str">
        <f>IF(Table1[[#This Row],[TotalPrice]]&gt;2000,"High Sales","Low Sales")</f>
        <v>High Sales</v>
      </c>
    </row>
    <row r="1434" spans="1:13" x14ac:dyDescent="0.3">
      <c r="A1434" t="s">
        <v>1339</v>
      </c>
      <c r="B1434" t="s">
        <v>1654</v>
      </c>
      <c r="C1434" s="1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  <c r="K1434" t="str">
        <f>TEXT(Table1[[#This Row],[PurchaseDate]],"mmm")</f>
        <v>May</v>
      </c>
      <c r="L1434">
        <f>YEAR(Table1[[#This Row],[PurchaseDate]])</f>
        <v>2024</v>
      </c>
      <c r="M1434" t="str">
        <f>IF(Table1[[#This Row],[TotalPrice]]&gt;2000,"High Sales","Low Sales")</f>
        <v>Low Sales</v>
      </c>
    </row>
    <row r="1435" spans="1:13" x14ac:dyDescent="0.3">
      <c r="A1435" t="s">
        <v>1340</v>
      </c>
      <c r="B1435" t="s">
        <v>1657</v>
      </c>
      <c r="C1435" s="1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  <c r="K1435" t="str">
        <f>TEXT(Table1[[#This Row],[PurchaseDate]],"mmm")</f>
        <v>Dec</v>
      </c>
      <c r="L1435">
        <f>YEAR(Table1[[#This Row],[PurchaseDate]])</f>
        <v>2023</v>
      </c>
      <c r="M1435" t="str">
        <f>IF(Table1[[#This Row],[TotalPrice]]&gt;2000,"High Sales","Low Sales")</f>
        <v>High Sales</v>
      </c>
    </row>
    <row r="1436" spans="1:13" x14ac:dyDescent="0.3">
      <c r="A1436" t="s">
        <v>1341</v>
      </c>
      <c r="B1436" t="s">
        <v>1656</v>
      </c>
      <c r="C1436" s="1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  <c r="K1436" t="str">
        <f>TEXT(Table1[[#This Row],[PurchaseDate]],"mmm")</f>
        <v>Apr</v>
      </c>
      <c r="L1436">
        <f>YEAR(Table1[[#This Row],[PurchaseDate]])</f>
        <v>2023</v>
      </c>
      <c r="M1436" t="str">
        <f>IF(Table1[[#This Row],[TotalPrice]]&gt;2000,"High Sales","Low Sales")</f>
        <v>High Sales</v>
      </c>
    </row>
    <row r="1437" spans="1:13" x14ac:dyDescent="0.3">
      <c r="A1437" t="s">
        <v>1342</v>
      </c>
      <c r="B1437" t="s">
        <v>1654</v>
      </c>
      <c r="C1437" s="1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  <c r="K1437" t="str">
        <f>TEXT(Table1[[#This Row],[PurchaseDate]],"mmm")</f>
        <v>May</v>
      </c>
      <c r="L1437">
        <f>YEAR(Table1[[#This Row],[PurchaseDate]])</f>
        <v>2023</v>
      </c>
      <c r="M1437" t="str">
        <f>IF(Table1[[#This Row],[TotalPrice]]&gt;2000,"High Sales","Low Sales")</f>
        <v>Low Sales</v>
      </c>
    </row>
    <row r="1438" spans="1:13" x14ac:dyDescent="0.3">
      <c r="A1438" t="s">
        <v>1343</v>
      </c>
      <c r="B1438" t="s">
        <v>1656</v>
      </c>
      <c r="C1438" s="1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  <c r="K1438" t="str">
        <f>TEXT(Table1[[#This Row],[PurchaseDate]],"mmm")</f>
        <v>Oct</v>
      </c>
      <c r="L1438">
        <f>YEAR(Table1[[#This Row],[PurchaseDate]])</f>
        <v>2024</v>
      </c>
      <c r="M1438" t="str">
        <f>IF(Table1[[#This Row],[TotalPrice]]&gt;2000,"High Sales","Low Sales")</f>
        <v>Low Sales</v>
      </c>
    </row>
    <row r="1439" spans="1:13" x14ac:dyDescent="0.3">
      <c r="A1439" t="s">
        <v>1344</v>
      </c>
      <c r="B1439" t="s">
        <v>1657</v>
      </c>
      <c r="C1439" s="1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  <c r="K1439" t="str">
        <f>TEXT(Table1[[#This Row],[PurchaseDate]],"mmm")</f>
        <v>Oct</v>
      </c>
      <c r="L1439">
        <f>YEAR(Table1[[#This Row],[PurchaseDate]])</f>
        <v>2023</v>
      </c>
      <c r="M1439" t="str">
        <f>IF(Table1[[#This Row],[TotalPrice]]&gt;2000,"High Sales","Low Sales")</f>
        <v>Low Sales</v>
      </c>
    </row>
    <row r="1440" spans="1:13" x14ac:dyDescent="0.3">
      <c r="A1440" t="s">
        <v>1345</v>
      </c>
      <c r="B1440" t="s">
        <v>1656</v>
      </c>
      <c r="C1440" s="1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  <c r="K1440" t="str">
        <f>TEXT(Table1[[#This Row],[PurchaseDate]],"mmm")</f>
        <v>Apr</v>
      </c>
      <c r="L1440">
        <f>YEAR(Table1[[#This Row],[PurchaseDate]])</f>
        <v>2025</v>
      </c>
      <c r="M1440" t="str">
        <f>IF(Table1[[#This Row],[TotalPrice]]&gt;2000,"High Sales","Low Sales")</f>
        <v>High Sales</v>
      </c>
    </row>
    <row r="1441" spans="1:13" x14ac:dyDescent="0.3">
      <c r="A1441" t="s">
        <v>341</v>
      </c>
      <c r="B1441" t="s">
        <v>1655</v>
      </c>
      <c r="C1441" s="1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  <c r="K1441" t="str">
        <f>TEXT(Table1[[#This Row],[PurchaseDate]],"mmm")</f>
        <v>Nov</v>
      </c>
      <c r="L1441">
        <f>YEAR(Table1[[#This Row],[PurchaseDate]])</f>
        <v>2023</v>
      </c>
      <c r="M1441" t="str">
        <f>IF(Table1[[#This Row],[TotalPrice]]&gt;2000,"High Sales","Low Sales")</f>
        <v>High Sales</v>
      </c>
    </row>
    <row r="1442" spans="1:13" x14ac:dyDescent="0.3">
      <c r="A1442" t="s">
        <v>1346</v>
      </c>
      <c r="B1442" t="s">
        <v>1652</v>
      </c>
      <c r="C1442" s="1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  <c r="K1442" t="str">
        <f>TEXT(Table1[[#This Row],[PurchaseDate]],"mmm")</f>
        <v>Feb</v>
      </c>
      <c r="L1442">
        <f>YEAR(Table1[[#This Row],[PurchaseDate]])</f>
        <v>2023</v>
      </c>
      <c r="M1442" t="str">
        <f>IF(Table1[[#This Row],[TotalPrice]]&gt;2000,"High Sales","Low Sales")</f>
        <v>Low Sales</v>
      </c>
    </row>
    <row r="1443" spans="1:13" x14ac:dyDescent="0.3">
      <c r="A1443" t="s">
        <v>1347</v>
      </c>
      <c r="B1443" t="s">
        <v>1658</v>
      </c>
      <c r="C1443" s="1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  <c r="K1443" t="str">
        <f>TEXT(Table1[[#This Row],[PurchaseDate]],"mmm")</f>
        <v>Sep</v>
      </c>
      <c r="L1443">
        <f>YEAR(Table1[[#This Row],[PurchaseDate]])</f>
        <v>2023</v>
      </c>
      <c r="M1443" t="str">
        <f>IF(Table1[[#This Row],[TotalPrice]]&gt;2000,"High Sales","Low Sales")</f>
        <v>High Sales</v>
      </c>
    </row>
    <row r="1444" spans="1:13" x14ac:dyDescent="0.3">
      <c r="A1444" t="s">
        <v>1348</v>
      </c>
      <c r="B1444" t="s">
        <v>1658</v>
      </c>
      <c r="C1444" s="1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  <c r="K1444" t="str">
        <f>TEXT(Table1[[#This Row],[PurchaseDate]],"mmm")</f>
        <v>Oct</v>
      </c>
      <c r="L1444">
        <f>YEAR(Table1[[#This Row],[PurchaseDate]])</f>
        <v>2024</v>
      </c>
      <c r="M1444" t="str">
        <f>IF(Table1[[#This Row],[TotalPrice]]&gt;2000,"High Sales","Low Sales")</f>
        <v>Low Sales</v>
      </c>
    </row>
    <row r="1445" spans="1:13" x14ac:dyDescent="0.3">
      <c r="A1445" t="s">
        <v>1349</v>
      </c>
      <c r="B1445" t="s">
        <v>1657</v>
      </c>
      <c r="C1445" s="1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  <c r="K1445" t="str">
        <f>TEXT(Table1[[#This Row],[PurchaseDate]],"mmm")</f>
        <v>Feb</v>
      </c>
      <c r="L1445">
        <f>YEAR(Table1[[#This Row],[PurchaseDate]])</f>
        <v>2025</v>
      </c>
      <c r="M1445" t="str">
        <f>IF(Table1[[#This Row],[TotalPrice]]&gt;2000,"High Sales","Low Sales")</f>
        <v>Low Sales</v>
      </c>
    </row>
    <row r="1446" spans="1:13" x14ac:dyDescent="0.3">
      <c r="A1446" t="s">
        <v>1350</v>
      </c>
      <c r="B1446" t="s">
        <v>1657</v>
      </c>
      <c r="C1446" s="1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  <c r="K1446" t="str">
        <f>TEXT(Table1[[#This Row],[PurchaseDate]],"mmm")</f>
        <v>Feb</v>
      </c>
      <c r="L1446">
        <f>YEAR(Table1[[#This Row],[PurchaseDate]])</f>
        <v>2023</v>
      </c>
      <c r="M1446" t="str">
        <f>IF(Table1[[#This Row],[TotalPrice]]&gt;2000,"High Sales","Low Sales")</f>
        <v>High Sales</v>
      </c>
    </row>
    <row r="1447" spans="1:13" x14ac:dyDescent="0.3">
      <c r="A1447" t="s">
        <v>1351</v>
      </c>
      <c r="B1447" t="s">
        <v>1653</v>
      </c>
      <c r="C1447" s="1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  <c r="K1447" t="str">
        <f>TEXT(Table1[[#This Row],[PurchaseDate]],"mmm")</f>
        <v>Feb</v>
      </c>
      <c r="L1447">
        <f>YEAR(Table1[[#This Row],[PurchaseDate]])</f>
        <v>2025</v>
      </c>
      <c r="M1447" t="str">
        <f>IF(Table1[[#This Row],[TotalPrice]]&gt;2000,"High Sales","Low Sales")</f>
        <v>High Sales</v>
      </c>
    </row>
    <row r="1448" spans="1:13" x14ac:dyDescent="0.3">
      <c r="A1448" t="s">
        <v>1352</v>
      </c>
      <c r="B1448" t="s">
        <v>1654</v>
      </c>
      <c r="C1448" s="1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  <c r="K1448" t="str">
        <f>TEXT(Table1[[#This Row],[PurchaseDate]],"mmm")</f>
        <v>Jan</v>
      </c>
      <c r="L1448">
        <f>YEAR(Table1[[#This Row],[PurchaseDate]])</f>
        <v>2023</v>
      </c>
      <c r="M1448" t="str">
        <f>IF(Table1[[#This Row],[TotalPrice]]&gt;2000,"High Sales","Low Sales")</f>
        <v>High Sales</v>
      </c>
    </row>
    <row r="1449" spans="1:13" x14ac:dyDescent="0.3">
      <c r="A1449" t="s">
        <v>1353</v>
      </c>
      <c r="B1449" t="s">
        <v>1656</v>
      </c>
      <c r="C1449" s="1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  <c r="K1449" t="str">
        <f>TEXT(Table1[[#This Row],[PurchaseDate]],"mmm")</f>
        <v>Apr</v>
      </c>
      <c r="L1449">
        <f>YEAR(Table1[[#This Row],[PurchaseDate]])</f>
        <v>2025</v>
      </c>
      <c r="M1449" t="str">
        <f>IF(Table1[[#This Row],[TotalPrice]]&gt;2000,"High Sales","Low Sales")</f>
        <v>Low Sales</v>
      </c>
    </row>
    <row r="1450" spans="1:13" x14ac:dyDescent="0.3">
      <c r="A1450" t="s">
        <v>1354</v>
      </c>
      <c r="B1450" t="s">
        <v>1657</v>
      </c>
      <c r="C1450" s="1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  <c r="K1450" t="str">
        <f>TEXT(Table1[[#This Row],[PurchaseDate]],"mmm")</f>
        <v>Dec</v>
      </c>
      <c r="L1450">
        <f>YEAR(Table1[[#This Row],[PurchaseDate]])</f>
        <v>2023</v>
      </c>
      <c r="M1450" t="str">
        <f>IF(Table1[[#This Row],[TotalPrice]]&gt;2000,"High Sales","Low Sales")</f>
        <v>Low Sales</v>
      </c>
    </row>
    <row r="1451" spans="1:13" x14ac:dyDescent="0.3">
      <c r="A1451" t="s">
        <v>1355</v>
      </c>
      <c r="B1451" t="s">
        <v>1654</v>
      </c>
      <c r="C1451" s="1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  <c r="K1451" t="str">
        <f>TEXT(Table1[[#This Row],[PurchaseDate]],"mmm")</f>
        <v>Nov</v>
      </c>
      <c r="L1451">
        <f>YEAR(Table1[[#This Row],[PurchaseDate]])</f>
        <v>2023</v>
      </c>
      <c r="M1451" t="str">
        <f>IF(Table1[[#This Row],[TotalPrice]]&gt;2000,"High Sales","Low Sales")</f>
        <v>Low Sales</v>
      </c>
    </row>
    <row r="1452" spans="1:13" x14ac:dyDescent="0.3">
      <c r="A1452" t="s">
        <v>643</v>
      </c>
      <c r="B1452" t="s">
        <v>1655</v>
      </c>
      <c r="C1452" s="1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  <c r="K1452" t="str">
        <f>TEXT(Table1[[#This Row],[PurchaseDate]],"mmm")</f>
        <v>Nov</v>
      </c>
      <c r="L1452">
        <f>YEAR(Table1[[#This Row],[PurchaseDate]])</f>
        <v>2023</v>
      </c>
      <c r="M1452" t="str">
        <f>IF(Table1[[#This Row],[TotalPrice]]&gt;2000,"High Sales","Low Sales")</f>
        <v>Low Sales</v>
      </c>
    </row>
    <row r="1453" spans="1:13" x14ac:dyDescent="0.3">
      <c r="A1453" t="s">
        <v>1356</v>
      </c>
      <c r="B1453" t="s">
        <v>1652</v>
      </c>
      <c r="C1453" s="1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  <c r="K1453" t="str">
        <f>TEXT(Table1[[#This Row],[PurchaseDate]],"mmm")</f>
        <v>Jul</v>
      </c>
      <c r="L1453">
        <f>YEAR(Table1[[#This Row],[PurchaseDate]])</f>
        <v>2023</v>
      </c>
      <c r="M1453" t="str">
        <f>IF(Table1[[#This Row],[TotalPrice]]&gt;2000,"High Sales","Low Sales")</f>
        <v>Low Sales</v>
      </c>
    </row>
    <row r="1454" spans="1:13" x14ac:dyDescent="0.3">
      <c r="A1454" t="s">
        <v>1357</v>
      </c>
      <c r="B1454" t="s">
        <v>1658</v>
      </c>
      <c r="C1454" s="1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  <c r="K1454" t="str">
        <f>TEXT(Table1[[#This Row],[PurchaseDate]],"mmm")</f>
        <v>Jan</v>
      </c>
      <c r="L1454">
        <f>YEAR(Table1[[#This Row],[PurchaseDate]])</f>
        <v>2025</v>
      </c>
      <c r="M1454" t="str">
        <f>IF(Table1[[#This Row],[TotalPrice]]&gt;2000,"High Sales","Low Sales")</f>
        <v>Low Sales</v>
      </c>
    </row>
    <row r="1455" spans="1:13" x14ac:dyDescent="0.3">
      <c r="A1455" t="s">
        <v>1358</v>
      </c>
      <c r="B1455" t="s">
        <v>1658</v>
      </c>
      <c r="C1455" s="1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  <c r="K1455" t="str">
        <f>TEXT(Table1[[#This Row],[PurchaseDate]],"mmm")</f>
        <v>Jan</v>
      </c>
      <c r="L1455">
        <f>YEAR(Table1[[#This Row],[PurchaseDate]])</f>
        <v>2025</v>
      </c>
      <c r="M1455" t="str">
        <f>IF(Table1[[#This Row],[TotalPrice]]&gt;2000,"High Sales","Low Sales")</f>
        <v>High Sales</v>
      </c>
    </row>
    <row r="1456" spans="1:13" x14ac:dyDescent="0.3">
      <c r="A1456" t="s">
        <v>1359</v>
      </c>
      <c r="B1456" t="s">
        <v>1657</v>
      </c>
      <c r="C1456" s="1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  <c r="K1456" t="str">
        <f>TEXT(Table1[[#This Row],[PurchaseDate]],"mmm")</f>
        <v>May</v>
      </c>
      <c r="L1456">
        <f>YEAR(Table1[[#This Row],[PurchaseDate]])</f>
        <v>2024</v>
      </c>
      <c r="M1456" t="str">
        <f>IF(Table1[[#This Row],[TotalPrice]]&gt;2000,"High Sales","Low Sales")</f>
        <v>High Sales</v>
      </c>
    </row>
    <row r="1457" spans="1:13" x14ac:dyDescent="0.3">
      <c r="A1457" t="s">
        <v>1360</v>
      </c>
      <c r="B1457" t="s">
        <v>1656</v>
      </c>
      <c r="C1457" s="1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  <c r="K1457" t="str">
        <f>TEXT(Table1[[#This Row],[PurchaseDate]],"mmm")</f>
        <v>Jun</v>
      </c>
      <c r="L1457">
        <f>YEAR(Table1[[#This Row],[PurchaseDate]])</f>
        <v>2024</v>
      </c>
      <c r="M1457" t="str">
        <f>IF(Table1[[#This Row],[TotalPrice]]&gt;2000,"High Sales","Low Sales")</f>
        <v>Low Sales</v>
      </c>
    </row>
    <row r="1458" spans="1:13" x14ac:dyDescent="0.3">
      <c r="A1458" t="s">
        <v>1361</v>
      </c>
      <c r="B1458" t="s">
        <v>1654</v>
      </c>
      <c r="C1458" s="1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  <c r="K1458" t="str">
        <f>TEXT(Table1[[#This Row],[PurchaseDate]],"mmm")</f>
        <v>Jan</v>
      </c>
      <c r="L1458">
        <f>YEAR(Table1[[#This Row],[PurchaseDate]])</f>
        <v>2025</v>
      </c>
      <c r="M1458" t="str">
        <f>IF(Table1[[#This Row],[TotalPrice]]&gt;2000,"High Sales","Low Sales")</f>
        <v>Low Sales</v>
      </c>
    </row>
    <row r="1459" spans="1:13" x14ac:dyDescent="0.3">
      <c r="A1459" t="s">
        <v>1362</v>
      </c>
      <c r="B1459" t="s">
        <v>1657</v>
      </c>
      <c r="C1459" s="1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  <c r="K1459" t="str">
        <f>TEXT(Table1[[#This Row],[PurchaseDate]],"mmm")</f>
        <v>Jul</v>
      </c>
      <c r="L1459">
        <f>YEAR(Table1[[#This Row],[PurchaseDate]])</f>
        <v>2024</v>
      </c>
      <c r="M1459" t="str">
        <f>IF(Table1[[#This Row],[TotalPrice]]&gt;2000,"High Sales","Low Sales")</f>
        <v>Low Sales</v>
      </c>
    </row>
    <row r="1460" spans="1:13" x14ac:dyDescent="0.3">
      <c r="A1460" t="s">
        <v>1363</v>
      </c>
      <c r="B1460" t="s">
        <v>1652</v>
      </c>
      <c r="C1460" s="1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  <c r="K1460" t="str">
        <f>TEXT(Table1[[#This Row],[PurchaseDate]],"mmm")</f>
        <v>Jun</v>
      </c>
      <c r="L1460">
        <f>YEAR(Table1[[#This Row],[PurchaseDate]])</f>
        <v>2023</v>
      </c>
      <c r="M1460" t="str">
        <f>IF(Table1[[#This Row],[TotalPrice]]&gt;2000,"High Sales","Low Sales")</f>
        <v>Low Sales</v>
      </c>
    </row>
    <row r="1461" spans="1:13" x14ac:dyDescent="0.3">
      <c r="A1461" t="s">
        <v>1364</v>
      </c>
      <c r="B1461" t="s">
        <v>1655</v>
      </c>
      <c r="C1461" s="1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  <c r="K1461" t="str">
        <f>TEXT(Table1[[#This Row],[PurchaseDate]],"mmm")</f>
        <v>May</v>
      </c>
      <c r="L1461">
        <f>YEAR(Table1[[#This Row],[PurchaseDate]])</f>
        <v>2025</v>
      </c>
      <c r="M1461" t="str">
        <f>IF(Table1[[#This Row],[TotalPrice]]&gt;2000,"High Sales","Low Sales")</f>
        <v>High Sales</v>
      </c>
    </row>
    <row r="1462" spans="1:13" x14ac:dyDescent="0.3">
      <c r="A1462" t="s">
        <v>1365</v>
      </c>
      <c r="B1462" t="s">
        <v>1654</v>
      </c>
      <c r="C1462" s="1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  <c r="K1462" t="str">
        <f>TEXT(Table1[[#This Row],[PurchaseDate]],"mmm")</f>
        <v>Jul</v>
      </c>
      <c r="L1462">
        <f>YEAR(Table1[[#This Row],[PurchaseDate]])</f>
        <v>2024</v>
      </c>
      <c r="M1462" t="str">
        <f>IF(Table1[[#This Row],[TotalPrice]]&gt;2000,"High Sales","Low Sales")</f>
        <v>High Sales</v>
      </c>
    </row>
    <row r="1463" spans="1:13" x14ac:dyDescent="0.3">
      <c r="A1463" t="s">
        <v>1366</v>
      </c>
      <c r="B1463" t="s">
        <v>1654</v>
      </c>
      <c r="C1463" s="1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  <c r="K1463" t="str">
        <f>TEXT(Table1[[#This Row],[PurchaseDate]],"mmm")</f>
        <v>Sep</v>
      </c>
      <c r="L1463">
        <f>YEAR(Table1[[#This Row],[PurchaseDate]])</f>
        <v>2023</v>
      </c>
      <c r="M1463" t="str">
        <f>IF(Table1[[#This Row],[TotalPrice]]&gt;2000,"High Sales","Low Sales")</f>
        <v>Low Sales</v>
      </c>
    </row>
    <row r="1464" spans="1:13" x14ac:dyDescent="0.3">
      <c r="A1464" t="s">
        <v>1367</v>
      </c>
      <c r="B1464" t="s">
        <v>1653</v>
      </c>
      <c r="C1464" s="1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  <c r="K1464" t="str">
        <f>TEXT(Table1[[#This Row],[PurchaseDate]],"mmm")</f>
        <v>Mar</v>
      </c>
      <c r="L1464">
        <f>YEAR(Table1[[#This Row],[PurchaseDate]])</f>
        <v>2023</v>
      </c>
      <c r="M1464" t="str">
        <f>IF(Table1[[#This Row],[TotalPrice]]&gt;2000,"High Sales","Low Sales")</f>
        <v>High Sales</v>
      </c>
    </row>
    <row r="1465" spans="1:13" x14ac:dyDescent="0.3">
      <c r="A1465" t="s">
        <v>1368</v>
      </c>
      <c r="B1465" t="s">
        <v>1654</v>
      </c>
      <c r="C1465" s="1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  <c r="K1465" t="str">
        <f>TEXT(Table1[[#This Row],[PurchaseDate]],"mmm")</f>
        <v>Jan</v>
      </c>
      <c r="L1465">
        <f>YEAR(Table1[[#This Row],[PurchaseDate]])</f>
        <v>2024</v>
      </c>
      <c r="M1465" t="str">
        <f>IF(Table1[[#This Row],[TotalPrice]]&gt;2000,"High Sales","Low Sales")</f>
        <v>Low Sales</v>
      </c>
    </row>
    <row r="1466" spans="1:13" x14ac:dyDescent="0.3">
      <c r="A1466" t="s">
        <v>728</v>
      </c>
      <c r="B1466" t="s">
        <v>1658</v>
      </c>
      <c r="C1466" s="1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  <c r="K1466" t="str">
        <f>TEXT(Table1[[#This Row],[PurchaseDate]],"mmm")</f>
        <v>Oct</v>
      </c>
      <c r="L1466">
        <f>YEAR(Table1[[#This Row],[PurchaseDate]])</f>
        <v>2023</v>
      </c>
      <c r="M1466" t="str">
        <f>IF(Table1[[#This Row],[TotalPrice]]&gt;2000,"High Sales","Low Sales")</f>
        <v>Low Sales</v>
      </c>
    </row>
    <row r="1467" spans="1:13" x14ac:dyDescent="0.3">
      <c r="A1467" t="s">
        <v>666</v>
      </c>
      <c r="B1467" t="s">
        <v>1658</v>
      </c>
      <c r="C1467" s="1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  <c r="K1467" t="str">
        <f>TEXT(Table1[[#This Row],[PurchaseDate]],"mmm")</f>
        <v>Aug</v>
      </c>
      <c r="L1467">
        <f>YEAR(Table1[[#This Row],[PurchaseDate]])</f>
        <v>2023</v>
      </c>
      <c r="M1467" t="str">
        <f>IF(Table1[[#This Row],[TotalPrice]]&gt;2000,"High Sales","Low Sales")</f>
        <v>Low Sales</v>
      </c>
    </row>
    <row r="1468" spans="1:13" x14ac:dyDescent="0.3">
      <c r="A1468" t="s">
        <v>1369</v>
      </c>
      <c r="B1468" t="s">
        <v>1658</v>
      </c>
      <c r="C1468" s="1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  <c r="K1468" t="str">
        <f>TEXT(Table1[[#This Row],[PurchaseDate]],"mmm")</f>
        <v>Jan</v>
      </c>
      <c r="L1468">
        <f>YEAR(Table1[[#This Row],[PurchaseDate]])</f>
        <v>2023</v>
      </c>
      <c r="M1468" t="str">
        <f>IF(Table1[[#This Row],[TotalPrice]]&gt;2000,"High Sales","Low Sales")</f>
        <v>Low Sales</v>
      </c>
    </row>
    <row r="1469" spans="1:13" x14ac:dyDescent="0.3">
      <c r="A1469" t="s">
        <v>1370</v>
      </c>
      <c r="B1469" t="s">
        <v>1653</v>
      </c>
      <c r="C1469" s="1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  <c r="K1469" t="str">
        <f>TEXT(Table1[[#This Row],[PurchaseDate]],"mmm")</f>
        <v>Mar</v>
      </c>
      <c r="L1469">
        <f>YEAR(Table1[[#This Row],[PurchaseDate]])</f>
        <v>2023</v>
      </c>
      <c r="M1469" t="str">
        <f>IF(Table1[[#This Row],[TotalPrice]]&gt;2000,"High Sales","Low Sales")</f>
        <v>Low Sales</v>
      </c>
    </row>
    <row r="1470" spans="1:13" x14ac:dyDescent="0.3">
      <c r="A1470" t="s">
        <v>1177</v>
      </c>
      <c r="B1470" t="s">
        <v>1657</v>
      </c>
      <c r="C1470" s="1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  <c r="K1470" t="str">
        <f>TEXT(Table1[[#This Row],[PurchaseDate]],"mmm")</f>
        <v>Apr</v>
      </c>
      <c r="L1470">
        <f>YEAR(Table1[[#This Row],[PurchaseDate]])</f>
        <v>2025</v>
      </c>
      <c r="M1470" t="str">
        <f>IF(Table1[[#This Row],[TotalPrice]]&gt;2000,"High Sales","Low Sales")</f>
        <v>High Sales</v>
      </c>
    </row>
    <row r="1471" spans="1:13" x14ac:dyDescent="0.3">
      <c r="A1471" t="s">
        <v>1371</v>
      </c>
      <c r="B1471" t="s">
        <v>1652</v>
      </c>
      <c r="C1471" s="1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  <c r="K1471" t="str">
        <f>TEXT(Table1[[#This Row],[PurchaseDate]],"mmm")</f>
        <v>Mar</v>
      </c>
      <c r="L1471">
        <f>YEAR(Table1[[#This Row],[PurchaseDate]])</f>
        <v>2024</v>
      </c>
      <c r="M1471" t="str">
        <f>IF(Table1[[#This Row],[TotalPrice]]&gt;2000,"High Sales","Low Sales")</f>
        <v>Low Sales</v>
      </c>
    </row>
    <row r="1472" spans="1:13" x14ac:dyDescent="0.3">
      <c r="A1472" t="s">
        <v>1372</v>
      </c>
      <c r="B1472" t="s">
        <v>1652</v>
      </c>
      <c r="C1472" s="1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  <c r="K1472" t="str">
        <f>TEXT(Table1[[#This Row],[PurchaseDate]],"mmm")</f>
        <v>Jan</v>
      </c>
      <c r="L1472">
        <f>YEAR(Table1[[#This Row],[PurchaseDate]])</f>
        <v>2025</v>
      </c>
      <c r="M1472" t="str">
        <f>IF(Table1[[#This Row],[TotalPrice]]&gt;2000,"High Sales","Low Sales")</f>
        <v>Low Sales</v>
      </c>
    </row>
    <row r="1473" spans="1:13" x14ac:dyDescent="0.3">
      <c r="A1473" t="s">
        <v>1040</v>
      </c>
      <c r="B1473" t="s">
        <v>1654</v>
      </c>
      <c r="C1473" s="1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  <c r="K1473" t="str">
        <f>TEXT(Table1[[#This Row],[PurchaseDate]],"mmm")</f>
        <v>Jan</v>
      </c>
      <c r="L1473">
        <f>YEAR(Table1[[#This Row],[PurchaseDate]])</f>
        <v>2025</v>
      </c>
      <c r="M1473" t="str">
        <f>IF(Table1[[#This Row],[TotalPrice]]&gt;2000,"High Sales","Low Sales")</f>
        <v>Low Sales</v>
      </c>
    </row>
    <row r="1474" spans="1:13" x14ac:dyDescent="0.3">
      <c r="A1474" t="s">
        <v>1373</v>
      </c>
      <c r="B1474" t="s">
        <v>1658</v>
      </c>
      <c r="C1474" s="1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  <c r="K1474" t="str">
        <f>TEXT(Table1[[#This Row],[PurchaseDate]],"mmm")</f>
        <v>Oct</v>
      </c>
      <c r="L1474">
        <f>YEAR(Table1[[#This Row],[PurchaseDate]])</f>
        <v>2023</v>
      </c>
      <c r="M1474" t="str">
        <f>IF(Table1[[#This Row],[TotalPrice]]&gt;2000,"High Sales","Low Sales")</f>
        <v>Low Sales</v>
      </c>
    </row>
    <row r="1475" spans="1:13" x14ac:dyDescent="0.3">
      <c r="A1475" t="s">
        <v>1374</v>
      </c>
      <c r="B1475" t="s">
        <v>1654</v>
      </c>
      <c r="C1475" s="1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  <c r="K1475" t="str">
        <f>TEXT(Table1[[#This Row],[PurchaseDate]],"mmm")</f>
        <v>May</v>
      </c>
      <c r="L1475">
        <f>YEAR(Table1[[#This Row],[PurchaseDate]])</f>
        <v>2024</v>
      </c>
      <c r="M1475" t="str">
        <f>IF(Table1[[#This Row],[TotalPrice]]&gt;2000,"High Sales","Low Sales")</f>
        <v>Low Sales</v>
      </c>
    </row>
    <row r="1476" spans="1:13" x14ac:dyDescent="0.3">
      <c r="A1476" t="s">
        <v>1375</v>
      </c>
      <c r="B1476" t="s">
        <v>1658</v>
      </c>
      <c r="C1476" s="1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  <c r="K1476" t="str">
        <f>TEXT(Table1[[#This Row],[PurchaseDate]],"mmm")</f>
        <v>Feb</v>
      </c>
      <c r="L1476">
        <f>YEAR(Table1[[#This Row],[PurchaseDate]])</f>
        <v>2024</v>
      </c>
      <c r="M1476" t="str">
        <f>IF(Table1[[#This Row],[TotalPrice]]&gt;2000,"High Sales","Low Sales")</f>
        <v>Low Sales</v>
      </c>
    </row>
    <row r="1477" spans="1:13" x14ac:dyDescent="0.3">
      <c r="A1477" t="s">
        <v>1376</v>
      </c>
      <c r="B1477" t="s">
        <v>1658</v>
      </c>
      <c r="C1477" s="1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  <c r="K1477" t="str">
        <f>TEXT(Table1[[#This Row],[PurchaseDate]],"mmm")</f>
        <v>Nov</v>
      </c>
      <c r="L1477">
        <f>YEAR(Table1[[#This Row],[PurchaseDate]])</f>
        <v>2023</v>
      </c>
      <c r="M1477" t="str">
        <f>IF(Table1[[#This Row],[TotalPrice]]&gt;2000,"High Sales","Low Sales")</f>
        <v>High Sales</v>
      </c>
    </row>
    <row r="1478" spans="1:13" x14ac:dyDescent="0.3">
      <c r="A1478" t="s">
        <v>1377</v>
      </c>
      <c r="B1478" t="s">
        <v>1654</v>
      </c>
      <c r="C1478" s="1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  <c r="K1478" t="str">
        <f>TEXT(Table1[[#This Row],[PurchaseDate]],"mmm")</f>
        <v>May</v>
      </c>
      <c r="L1478">
        <f>YEAR(Table1[[#This Row],[PurchaseDate]])</f>
        <v>2024</v>
      </c>
      <c r="M1478" t="str">
        <f>IF(Table1[[#This Row],[TotalPrice]]&gt;2000,"High Sales","Low Sales")</f>
        <v>High Sales</v>
      </c>
    </row>
    <row r="1479" spans="1:13" x14ac:dyDescent="0.3">
      <c r="A1479" t="s">
        <v>18</v>
      </c>
      <c r="B1479" t="s">
        <v>1653</v>
      </c>
      <c r="C1479" s="1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  <c r="K1479" t="str">
        <f>TEXT(Table1[[#This Row],[PurchaseDate]],"mmm")</f>
        <v>Dec</v>
      </c>
      <c r="L1479">
        <f>YEAR(Table1[[#This Row],[PurchaseDate]])</f>
        <v>2024</v>
      </c>
      <c r="M1479" t="str">
        <f>IF(Table1[[#This Row],[TotalPrice]]&gt;2000,"High Sales","Low Sales")</f>
        <v>Low Sales</v>
      </c>
    </row>
    <row r="1480" spans="1:13" x14ac:dyDescent="0.3">
      <c r="A1480" t="s">
        <v>1378</v>
      </c>
      <c r="B1480" t="s">
        <v>1653</v>
      </c>
      <c r="C1480" s="1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  <c r="K1480" t="str">
        <f>TEXT(Table1[[#This Row],[PurchaseDate]],"mmm")</f>
        <v>Jul</v>
      </c>
      <c r="L1480">
        <f>YEAR(Table1[[#This Row],[PurchaseDate]])</f>
        <v>2024</v>
      </c>
      <c r="M1480" t="str">
        <f>IF(Table1[[#This Row],[TotalPrice]]&gt;2000,"High Sales","Low Sales")</f>
        <v>High Sales</v>
      </c>
    </row>
    <row r="1481" spans="1:13" x14ac:dyDescent="0.3">
      <c r="A1481" t="s">
        <v>506</v>
      </c>
      <c r="B1481" t="s">
        <v>1658</v>
      </c>
      <c r="C1481" s="1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  <c r="K1481" t="str">
        <f>TEXT(Table1[[#This Row],[PurchaseDate]],"mmm")</f>
        <v>Jan</v>
      </c>
      <c r="L1481">
        <f>YEAR(Table1[[#This Row],[PurchaseDate]])</f>
        <v>2025</v>
      </c>
      <c r="M1481" t="str">
        <f>IF(Table1[[#This Row],[TotalPrice]]&gt;2000,"High Sales","Low Sales")</f>
        <v>Low Sales</v>
      </c>
    </row>
    <row r="1482" spans="1:13" x14ac:dyDescent="0.3">
      <c r="A1482" t="s">
        <v>1379</v>
      </c>
      <c r="B1482" t="s">
        <v>1657</v>
      </c>
      <c r="C1482" s="1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  <c r="K1482" t="str">
        <f>TEXT(Table1[[#This Row],[PurchaseDate]],"mmm")</f>
        <v>Jan</v>
      </c>
      <c r="L1482">
        <f>YEAR(Table1[[#This Row],[PurchaseDate]])</f>
        <v>2024</v>
      </c>
      <c r="M1482" t="str">
        <f>IF(Table1[[#This Row],[TotalPrice]]&gt;2000,"High Sales","Low Sales")</f>
        <v>High Sales</v>
      </c>
    </row>
    <row r="1483" spans="1:13" x14ac:dyDescent="0.3">
      <c r="A1483" t="s">
        <v>1380</v>
      </c>
      <c r="B1483" t="s">
        <v>1657</v>
      </c>
      <c r="C1483" s="1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  <c r="K1483" t="str">
        <f>TEXT(Table1[[#This Row],[PurchaseDate]],"mmm")</f>
        <v>Jun</v>
      </c>
      <c r="L1483">
        <f>YEAR(Table1[[#This Row],[PurchaseDate]])</f>
        <v>2024</v>
      </c>
      <c r="M1483" t="str">
        <f>IF(Table1[[#This Row],[TotalPrice]]&gt;2000,"High Sales","Low Sales")</f>
        <v>Low Sales</v>
      </c>
    </row>
    <row r="1484" spans="1:13" x14ac:dyDescent="0.3">
      <c r="A1484" t="s">
        <v>871</v>
      </c>
      <c r="B1484" t="s">
        <v>1656</v>
      </c>
      <c r="C1484" s="1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  <c r="K1484" t="str">
        <f>TEXT(Table1[[#This Row],[PurchaseDate]],"mmm")</f>
        <v>Mar</v>
      </c>
      <c r="L1484">
        <f>YEAR(Table1[[#This Row],[PurchaseDate]])</f>
        <v>2025</v>
      </c>
      <c r="M1484" t="str">
        <f>IF(Table1[[#This Row],[TotalPrice]]&gt;2000,"High Sales","Low Sales")</f>
        <v>High Sales</v>
      </c>
    </row>
    <row r="1485" spans="1:13" x14ac:dyDescent="0.3">
      <c r="A1485" t="s">
        <v>1381</v>
      </c>
      <c r="B1485" t="s">
        <v>1653</v>
      </c>
      <c r="C1485" s="1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  <c r="K1485" t="str">
        <f>TEXT(Table1[[#This Row],[PurchaseDate]],"mmm")</f>
        <v>Jul</v>
      </c>
      <c r="L1485">
        <f>YEAR(Table1[[#This Row],[PurchaseDate]])</f>
        <v>2023</v>
      </c>
      <c r="M1485" t="str">
        <f>IF(Table1[[#This Row],[TotalPrice]]&gt;2000,"High Sales","Low Sales")</f>
        <v>High Sales</v>
      </c>
    </row>
    <row r="1486" spans="1:13" x14ac:dyDescent="0.3">
      <c r="A1486" t="s">
        <v>1382</v>
      </c>
      <c r="B1486" t="s">
        <v>1655</v>
      </c>
      <c r="C1486" s="1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  <c r="K1486" t="str">
        <f>TEXT(Table1[[#This Row],[PurchaseDate]],"mmm")</f>
        <v>Nov</v>
      </c>
      <c r="L1486">
        <f>YEAR(Table1[[#This Row],[PurchaseDate]])</f>
        <v>2023</v>
      </c>
      <c r="M1486" t="str">
        <f>IF(Table1[[#This Row],[TotalPrice]]&gt;2000,"High Sales","Low Sales")</f>
        <v>Low Sales</v>
      </c>
    </row>
    <row r="1487" spans="1:13" x14ac:dyDescent="0.3">
      <c r="A1487" t="s">
        <v>1383</v>
      </c>
      <c r="B1487" t="s">
        <v>1654</v>
      </c>
      <c r="C1487" s="1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  <c r="K1487" t="str">
        <f>TEXT(Table1[[#This Row],[PurchaseDate]],"mmm")</f>
        <v>Apr</v>
      </c>
      <c r="L1487">
        <f>YEAR(Table1[[#This Row],[PurchaseDate]])</f>
        <v>2024</v>
      </c>
      <c r="M1487" t="str">
        <f>IF(Table1[[#This Row],[TotalPrice]]&gt;2000,"High Sales","Low Sales")</f>
        <v>High Sales</v>
      </c>
    </row>
    <row r="1488" spans="1:13" x14ac:dyDescent="0.3">
      <c r="A1488" t="s">
        <v>119</v>
      </c>
      <c r="B1488" t="s">
        <v>1658</v>
      </c>
      <c r="C1488" s="1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  <c r="K1488" t="str">
        <f>TEXT(Table1[[#This Row],[PurchaseDate]],"mmm")</f>
        <v>Jul</v>
      </c>
      <c r="L1488">
        <f>YEAR(Table1[[#This Row],[PurchaseDate]])</f>
        <v>2024</v>
      </c>
      <c r="M1488" t="str">
        <f>IF(Table1[[#This Row],[TotalPrice]]&gt;2000,"High Sales","Low Sales")</f>
        <v>Low Sales</v>
      </c>
    </row>
    <row r="1489" spans="1:13" x14ac:dyDescent="0.3">
      <c r="A1489" t="s">
        <v>1384</v>
      </c>
      <c r="B1489" t="s">
        <v>1653</v>
      </c>
      <c r="C1489" s="1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  <c r="K1489" t="str">
        <f>TEXT(Table1[[#This Row],[PurchaseDate]],"mmm")</f>
        <v>Jun</v>
      </c>
      <c r="L1489">
        <f>YEAR(Table1[[#This Row],[PurchaseDate]])</f>
        <v>2024</v>
      </c>
      <c r="M1489" t="str">
        <f>IF(Table1[[#This Row],[TotalPrice]]&gt;2000,"High Sales","Low Sales")</f>
        <v>Low Sales</v>
      </c>
    </row>
    <row r="1490" spans="1:13" x14ac:dyDescent="0.3">
      <c r="A1490" t="s">
        <v>1385</v>
      </c>
      <c r="B1490" t="s">
        <v>1657</v>
      </c>
      <c r="C1490" s="1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  <c r="K1490" t="str">
        <f>TEXT(Table1[[#This Row],[PurchaseDate]],"mmm")</f>
        <v>Jul</v>
      </c>
      <c r="L1490">
        <f>YEAR(Table1[[#This Row],[PurchaseDate]])</f>
        <v>2023</v>
      </c>
      <c r="M1490" t="str">
        <f>IF(Table1[[#This Row],[TotalPrice]]&gt;2000,"High Sales","Low Sales")</f>
        <v>High Sales</v>
      </c>
    </row>
    <row r="1491" spans="1:13" x14ac:dyDescent="0.3">
      <c r="A1491" t="s">
        <v>1386</v>
      </c>
      <c r="B1491" t="s">
        <v>1653</v>
      </c>
      <c r="C1491" s="1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  <c r="K1491" t="str">
        <f>TEXT(Table1[[#This Row],[PurchaseDate]],"mmm")</f>
        <v>May</v>
      </c>
      <c r="L1491">
        <f>YEAR(Table1[[#This Row],[PurchaseDate]])</f>
        <v>2025</v>
      </c>
      <c r="M1491" t="str">
        <f>IF(Table1[[#This Row],[TotalPrice]]&gt;2000,"High Sales","Low Sales")</f>
        <v>Low Sales</v>
      </c>
    </row>
    <row r="1492" spans="1:13" x14ac:dyDescent="0.3">
      <c r="A1492" t="s">
        <v>1387</v>
      </c>
      <c r="B1492" t="s">
        <v>1656</v>
      </c>
      <c r="C1492" s="1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  <c r="K1492" t="str">
        <f>TEXT(Table1[[#This Row],[PurchaseDate]],"mmm")</f>
        <v>Mar</v>
      </c>
      <c r="L1492">
        <f>YEAR(Table1[[#This Row],[PurchaseDate]])</f>
        <v>2024</v>
      </c>
      <c r="M1492" t="str">
        <f>IF(Table1[[#This Row],[TotalPrice]]&gt;2000,"High Sales","Low Sales")</f>
        <v>High Sales</v>
      </c>
    </row>
    <row r="1493" spans="1:13" x14ac:dyDescent="0.3">
      <c r="A1493" t="s">
        <v>1388</v>
      </c>
      <c r="B1493" t="s">
        <v>1656</v>
      </c>
      <c r="C1493" s="1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  <c r="K1493" t="str">
        <f>TEXT(Table1[[#This Row],[PurchaseDate]],"mmm")</f>
        <v>Jan</v>
      </c>
      <c r="L1493">
        <f>YEAR(Table1[[#This Row],[PurchaseDate]])</f>
        <v>2024</v>
      </c>
      <c r="M1493" t="str">
        <f>IF(Table1[[#This Row],[TotalPrice]]&gt;2000,"High Sales","Low Sales")</f>
        <v>Low Sales</v>
      </c>
    </row>
    <row r="1494" spans="1:13" x14ac:dyDescent="0.3">
      <c r="A1494" t="s">
        <v>1389</v>
      </c>
      <c r="B1494" t="s">
        <v>1658</v>
      </c>
      <c r="C1494" s="1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  <c r="K1494" t="str">
        <f>TEXT(Table1[[#This Row],[PurchaseDate]],"mmm")</f>
        <v>Dec</v>
      </c>
      <c r="L1494">
        <f>YEAR(Table1[[#This Row],[PurchaseDate]])</f>
        <v>2024</v>
      </c>
      <c r="M1494" t="str">
        <f>IF(Table1[[#This Row],[TotalPrice]]&gt;2000,"High Sales","Low Sales")</f>
        <v>Low Sales</v>
      </c>
    </row>
    <row r="1495" spans="1:13" x14ac:dyDescent="0.3">
      <c r="A1495" t="s">
        <v>1390</v>
      </c>
      <c r="B1495" t="s">
        <v>1654</v>
      </c>
      <c r="C1495" s="1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  <c r="K1495" t="str">
        <f>TEXT(Table1[[#This Row],[PurchaseDate]],"mmm")</f>
        <v>Oct</v>
      </c>
      <c r="L1495">
        <f>YEAR(Table1[[#This Row],[PurchaseDate]])</f>
        <v>2024</v>
      </c>
      <c r="M1495" t="str">
        <f>IF(Table1[[#This Row],[TotalPrice]]&gt;2000,"High Sales","Low Sales")</f>
        <v>Low Sales</v>
      </c>
    </row>
    <row r="1496" spans="1:13" x14ac:dyDescent="0.3">
      <c r="A1496" t="s">
        <v>692</v>
      </c>
      <c r="B1496" t="s">
        <v>1653</v>
      </c>
      <c r="C1496" s="1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  <c r="K1496" t="str">
        <f>TEXT(Table1[[#This Row],[PurchaseDate]],"mmm")</f>
        <v>May</v>
      </c>
      <c r="L1496">
        <f>YEAR(Table1[[#This Row],[PurchaseDate]])</f>
        <v>2023</v>
      </c>
      <c r="M1496" t="str">
        <f>IF(Table1[[#This Row],[TotalPrice]]&gt;2000,"High Sales","Low Sales")</f>
        <v>Low Sales</v>
      </c>
    </row>
    <row r="1497" spans="1:13" x14ac:dyDescent="0.3">
      <c r="A1497" t="s">
        <v>183</v>
      </c>
      <c r="B1497" t="s">
        <v>1655</v>
      </c>
      <c r="C1497" s="1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  <c r="K1497" t="str">
        <f>TEXT(Table1[[#This Row],[PurchaseDate]],"mmm")</f>
        <v>Nov</v>
      </c>
      <c r="L1497">
        <f>YEAR(Table1[[#This Row],[PurchaseDate]])</f>
        <v>2023</v>
      </c>
      <c r="M1497" t="str">
        <f>IF(Table1[[#This Row],[TotalPrice]]&gt;2000,"High Sales","Low Sales")</f>
        <v>Low Sales</v>
      </c>
    </row>
    <row r="1498" spans="1:13" x14ac:dyDescent="0.3">
      <c r="A1498" t="s">
        <v>1391</v>
      </c>
      <c r="B1498" t="s">
        <v>1654</v>
      </c>
      <c r="C1498" s="1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  <c r="K1498" t="str">
        <f>TEXT(Table1[[#This Row],[PurchaseDate]],"mmm")</f>
        <v>May</v>
      </c>
      <c r="L1498">
        <f>YEAR(Table1[[#This Row],[PurchaseDate]])</f>
        <v>2023</v>
      </c>
      <c r="M1498" t="str">
        <f>IF(Table1[[#This Row],[TotalPrice]]&gt;2000,"High Sales","Low Sales")</f>
        <v>Low Sales</v>
      </c>
    </row>
    <row r="1499" spans="1:13" x14ac:dyDescent="0.3">
      <c r="A1499" t="s">
        <v>1392</v>
      </c>
      <c r="B1499" t="s">
        <v>1656</v>
      </c>
      <c r="C1499" s="1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  <c r="K1499" t="str">
        <f>TEXT(Table1[[#This Row],[PurchaseDate]],"mmm")</f>
        <v>Oct</v>
      </c>
      <c r="L1499">
        <f>YEAR(Table1[[#This Row],[PurchaseDate]])</f>
        <v>2024</v>
      </c>
      <c r="M1499" t="str">
        <f>IF(Table1[[#This Row],[TotalPrice]]&gt;2000,"High Sales","Low Sales")</f>
        <v>Low Sales</v>
      </c>
    </row>
    <row r="1500" spans="1:13" x14ac:dyDescent="0.3">
      <c r="A1500" t="s">
        <v>1393</v>
      </c>
      <c r="B1500" t="s">
        <v>1656</v>
      </c>
      <c r="C1500" s="1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  <c r="K1500" t="str">
        <f>TEXT(Table1[[#This Row],[PurchaseDate]],"mmm")</f>
        <v>Dec</v>
      </c>
      <c r="L1500">
        <f>YEAR(Table1[[#This Row],[PurchaseDate]])</f>
        <v>2024</v>
      </c>
      <c r="M1500" t="str">
        <f>IF(Table1[[#This Row],[TotalPrice]]&gt;2000,"High Sales","Low Sales")</f>
        <v>Low Sales</v>
      </c>
    </row>
    <row r="1501" spans="1:13" x14ac:dyDescent="0.3">
      <c r="A1501" t="s">
        <v>1394</v>
      </c>
      <c r="B1501" t="s">
        <v>1654</v>
      </c>
      <c r="C1501" s="1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  <c r="K1501" t="str">
        <f>TEXT(Table1[[#This Row],[PurchaseDate]],"mmm")</f>
        <v>May</v>
      </c>
      <c r="L1501">
        <f>YEAR(Table1[[#This Row],[PurchaseDate]])</f>
        <v>2025</v>
      </c>
      <c r="M1501" t="str">
        <f>IF(Table1[[#This Row],[TotalPrice]]&gt;2000,"High Sales","Low Sales")</f>
        <v>Low Sales</v>
      </c>
    </row>
    <row r="1502" spans="1:13" x14ac:dyDescent="0.3">
      <c r="A1502" t="s">
        <v>1395</v>
      </c>
      <c r="B1502" t="s">
        <v>1657</v>
      </c>
      <c r="C1502" s="1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  <c r="K1502" t="str">
        <f>TEXT(Table1[[#This Row],[PurchaseDate]],"mmm")</f>
        <v>Jul</v>
      </c>
      <c r="L1502">
        <f>YEAR(Table1[[#This Row],[PurchaseDate]])</f>
        <v>2024</v>
      </c>
      <c r="M1502" t="str">
        <f>IF(Table1[[#This Row],[TotalPrice]]&gt;2000,"High Sales","Low Sales")</f>
        <v>Low Sales</v>
      </c>
    </row>
    <row r="1503" spans="1:13" x14ac:dyDescent="0.3">
      <c r="A1503" t="s">
        <v>1396</v>
      </c>
      <c r="B1503" t="s">
        <v>1652</v>
      </c>
      <c r="C1503" s="1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  <c r="K1503" t="str">
        <f>TEXT(Table1[[#This Row],[PurchaseDate]],"mmm")</f>
        <v>May</v>
      </c>
      <c r="L1503">
        <f>YEAR(Table1[[#This Row],[PurchaseDate]])</f>
        <v>2023</v>
      </c>
      <c r="M1503" t="str">
        <f>IF(Table1[[#This Row],[TotalPrice]]&gt;2000,"High Sales","Low Sales")</f>
        <v>High Sales</v>
      </c>
    </row>
    <row r="1504" spans="1:13" x14ac:dyDescent="0.3">
      <c r="A1504" t="s">
        <v>1397</v>
      </c>
      <c r="B1504" t="s">
        <v>1654</v>
      </c>
      <c r="C1504" s="1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  <c r="K1504" t="str">
        <f>TEXT(Table1[[#This Row],[PurchaseDate]],"mmm")</f>
        <v>Dec</v>
      </c>
      <c r="L1504">
        <f>YEAR(Table1[[#This Row],[PurchaseDate]])</f>
        <v>2024</v>
      </c>
      <c r="M1504" t="str">
        <f>IF(Table1[[#This Row],[TotalPrice]]&gt;2000,"High Sales","Low Sales")</f>
        <v>Low Sales</v>
      </c>
    </row>
    <row r="1505" spans="1:13" x14ac:dyDescent="0.3">
      <c r="A1505" t="s">
        <v>1398</v>
      </c>
      <c r="B1505" t="s">
        <v>1652</v>
      </c>
      <c r="C1505" s="1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  <c r="K1505" t="str">
        <f>TEXT(Table1[[#This Row],[PurchaseDate]],"mmm")</f>
        <v>Sep</v>
      </c>
      <c r="L1505">
        <f>YEAR(Table1[[#This Row],[PurchaseDate]])</f>
        <v>2024</v>
      </c>
      <c r="M1505" t="str">
        <f>IF(Table1[[#This Row],[TotalPrice]]&gt;2000,"High Sales","Low Sales")</f>
        <v>Low Sales</v>
      </c>
    </row>
    <row r="1506" spans="1:13" x14ac:dyDescent="0.3">
      <c r="A1506" t="s">
        <v>1399</v>
      </c>
      <c r="B1506" t="s">
        <v>1652</v>
      </c>
      <c r="C1506" s="1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  <c r="K1506" t="str">
        <f>TEXT(Table1[[#This Row],[PurchaseDate]],"mmm")</f>
        <v>Oct</v>
      </c>
      <c r="L1506">
        <f>YEAR(Table1[[#This Row],[PurchaseDate]])</f>
        <v>2024</v>
      </c>
      <c r="M1506" t="str">
        <f>IF(Table1[[#This Row],[TotalPrice]]&gt;2000,"High Sales","Low Sales")</f>
        <v>Low Sales</v>
      </c>
    </row>
    <row r="1507" spans="1:13" x14ac:dyDescent="0.3">
      <c r="A1507" t="s">
        <v>1400</v>
      </c>
      <c r="B1507" t="s">
        <v>1658</v>
      </c>
      <c r="C1507" s="1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  <c r="K1507" t="str">
        <f>TEXT(Table1[[#This Row],[PurchaseDate]],"mmm")</f>
        <v>Dec</v>
      </c>
      <c r="L1507">
        <f>YEAR(Table1[[#This Row],[PurchaseDate]])</f>
        <v>2023</v>
      </c>
      <c r="M1507" t="str">
        <f>IF(Table1[[#This Row],[TotalPrice]]&gt;2000,"High Sales","Low Sales")</f>
        <v>High Sales</v>
      </c>
    </row>
    <row r="1508" spans="1:13" x14ac:dyDescent="0.3">
      <c r="A1508" t="s">
        <v>1401</v>
      </c>
      <c r="B1508" t="s">
        <v>1652</v>
      </c>
      <c r="C1508" s="1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  <c r="K1508" t="str">
        <f>TEXT(Table1[[#This Row],[PurchaseDate]],"mmm")</f>
        <v>May</v>
      </c>
      <c r="L1508">
        <f>YEAR(Table1[[#This Row],[PurchaseDate]])</f>
        <v>2024</v>
      </c>
      <c r="M1508" t="str">
        <f>IF(Table1[[#This Row],[TotalPrice]]&gt;2000,"High Sales","Low Sales")</f>
        <v>Low Sales</v>
      </c>
    </row>
    <row r="1509" spans="1:13" x14ac:dyDescent="0.3">
      <c r="A1509" t="s">
        <v>1402</v>
      </c>
      <c r="B1509" t="s">
        <v>1652</v>
      </c>
      <c r="C1509" s="1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  <c r="K1509" t="str">
        <f>TEXT(Table1[[#This Row],[PurchaseDate]],"mmm")</f>
        <v>Aug</v>
      </c>
      <c r="L1509">
        <f>YEAR(Table1[[#This Row],[PurchaseDate]])</f>
        <v>2023</v>
      </c>
      <c r="M1509" t="str">
        <f>IF(Table1[[#This Row],[TotalPrice]]&gt;2000,"High Sales","Low Sales")</f>
        <v>Low Sales</v>
      </c>
    </row>
    <row r="1510" spans="1:13" x14ac:dyDescent="0.3">
      <c r="A1510" t="s">
        <v>1403</v>
      </c>
      <c r="B1510" t="s">
        <v>1657</v>
      </c>
      <c r="C1510" s="1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  <c r="K1510" t="str">
        <f>TEXT(Table1[[#This Row],[PurchaseDate]],"mmm")</f>
        <v>Jan</v>
      </c>
      <c r="L1510">
        <f>YEAR(Table1[[#This Row],[PurchaseDate]])</f>
        <v>2023</v>
      </c>
      <c r="M1510" t="str">
        <f>IF(Table1[[#This Row],[TotalPrice]]&gt;2000,"High Sales","Low Sales")</f>
        <v>Low Sales</v>
      </c>
    </row>
    <row r="1511" spans="1:13" x14ac:dyDescent="0.3">
      <c r="A1511" t="s">
        <v>1404</v>
      </c>
      <c r="B1511" t="s">
        <v>1654</v>
      </c>
      <c r="C1511" s="1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  <c r="K1511" t="str">
        <f>TEXT(Table1[[#This Row],[PurchaseDate]],"mmm")</f>
        <v>Dec</v>
      </c>
      <c r="L1511">
        <f>YEAR(Table1[[#This Row],[PurchaseDate]])</f>
        <v>2023</v>
      </c>
      <c r="M1511" t="str">
        <f>IF(Table1[[#This Row],[TotalPrice]]&gt;2000,"High Sales","Low Sales")</f>
        <v>Low Sales</v>
      </c>
    </row>
    <row r="1512" spans="1:13" x14ac:dyDescent="0.3">
      <c r="A1512" t="s">
        <v>1405</v>
      </c>
      <c r="B1512" t="s">
        <v>1657</v>
      </c>
      <c r="C1512" s="1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  <c r="K1512" t="str">
        <f>TEXT(Table1[[#This Row],[PurchaseDate]],"mmm")</f>
        <v>Dec</v>
      </c>
      <c r="L1512">
        <f>YEAR(Table1[[#This Row],[PurchaseDate]])</f>
        <v>2024</v>
      </c>
      <c r="M1512" t="str">
        <f>IF(Table1[[#This Row],[TotalPrice]]&gt;2000,"High Sales","Low Sales")</f>
        <v>High Sales</v>
      </c>
    </row>
    <row r="1513" spans="1:13" x14ac:dyDescent="0.3">
      <c r="A1513" t="s">
        <v>896</v>
      </c>
      <c r="B1513" t="s">
        <v>1652</v>
      </c>
      <c r="C1513" s="1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  <c r="K1513" t="str">
        <f>TEXT(Table1[[#This Row],[PurchaseDate]],"mmm")</f>
        <v>Nov</v>
      </c>
      <c r="L1513">
        <f>YEAR(Table1[[#This Row],[PurchaseDate]])</f>
        <v>2023</v>
      </c>
      <c r="M1513" t="str">
        <f>IF(Table1[[#This Row],[TotalPrice]]&gt;2000,"High Sales","Low Sales")</f>
        <v>High Sales</v>
      </c>
    </row>
    <row r="1514" spans="1:13" x14ac:dyDescent="0.3">
      <c r="A1514" t="s">
        <v>1406</v>
      </c>
      <c r="B1514" t="s">
        <v>1654</v>
      </c>
      <c r="C1514" s="1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  <c r="K1514" t="str">
        <f>TEXT(Table1[[#This Row],[PurchaseDate]],"mmm")</f>
        <v>Mar</v>
      </c>
      <c r="L1514">
        <f>YEAR(Table1[[#This Row],[PurchaseDate]])</f>
        <v>2023</v>
      </c>
      <c r="M1514" t="str">
        <f>IF(Table1[[#This Row],[TotalPrice]]&gt;2000,"High Sales","Low Sales")</f>
        <v>High Sales</v>
      </c>
    </row>
    <row r="1515" spans="1:13" x14ac:dyDescent="0.3">
      <c r="A1515" t="s">
        <v>1407</v>
      </c>
      <c r="B1515" t="s">
        <v>1653</v>
      </c>
      <c r="C1515" s="1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  <c r="K1515" t="str">
        <f>TEXT(Table1[[#This Row],[PurchaseDate]],"mmm")</f>
        <v>Feb</v>
      </c>
      <c r="L1515">
        <f>YEAR(Table1[[#This Row],[PurchaseDate]])</f>
        <v>2025</v>
      </c>
      <c r="M1515" t="str">
        <f>IF(Table1[[#This Row],[TotalPrice]]&gt;2000,"High Sales","Low Sales")</f>
        <v>Low Sales</v>
      </c>
    </row>
    <row r="1516" spans="1:13" x14ac:dyDescent="0.3">
      <c r="A1516" t="s">
        <v>1408</v>
      </c>
      <c r="B1516" t="s">
        <v>1658</v>
      </c>
      <c r="C1516" s="1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  <c r="K1516" t="str">
        <f>TEXT(Table1[[#This Row],[PurchaseDate]],"mmm")</f>
        <v>Feb</v>
      </c>
      <c r="L1516">
        <f>YEAR(Table1[[#This Row],[PurchaseDate]])</f>
        <v>2025</v>
      </c>
      <c r="M1516" t="str">
        <f>IF(Table1[[#This Row],[TotalPrice]]&gt;2000,"High Sales","Low Sales")</f>
        <v>High Sales</v>
      </c>
    </row>
    <row r="1517" spans="1:13" x14ac:dyDescent="0.3">
      <c r="A1517" t="s">
        <v>1409</v>
      </c>
      <c r="B1517" t="s">
        <v>1653</v>
      </c>
      <c r="C1517" s="1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  <c r="K1517" t="str">
        <f>TEXT(Table1[[#This Row],[PurchaseDate]],"mmm")</f>
        <v>Nov</v>
      </c>
      <c r="L1517">
        <f>YEAR(Table1[[#This Row],[PurchaseDate]])</f>
        <v>2024</v>
      </c>
      <c r="M1517" t="str">
        <f>IF(Table1[[#This Row],[TotalPrice]]&gt;2000,"High Sales","Low Sales")</f>
        <v>Low Sales</v>
      </c>
    </row>
    <row r="1518" spans="1:13" x14ac:dyDescent="0.3">
      <c r="A1518" t="s">
        <v>1410</v>
      </c>
      <c r="B1518" t="s">
        <v>1653</v>
      </c>
      <c r="C1518" s="1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  <c r="K1518" t="str">
        <f>TEXT(Table1[[#This Row],[PurchaseDate]],"mmm")</f>
        <v>Jun</v>
      </c>
      <c r="L1518">
        <f>YEAR(Table1[[#This Row],[PurchaseDate]])</f>
        <v>2024</v>
      </c>
      <c r="M1518" t="str">
        <f>IF(Table1[[#This Row],[TotalPrice]]&gt;2000,"High Sales","Low Sales")</f>
        <v>Low Sales</v>
      </c>
    </row>
    <row r="1519" spans="1:13" x14ac:dyDescent="0.3">
      <c r="A1519" t="s">
        <v>601</v>
      </c>
      <c r="B1519" t="s">
        <v>1655</v>
      </c>
      <c r="C1519" s="1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  <c r="K1519" t="str">
        <f>TEXT(Table1[[#This Row],[PurchaseDate]],"mmm")</f>
        <v>Dec</v>
      </c>
      <c r="L1519">
        <f>YEAR(Table1[[#This Row],[PurchaseDate]])</f>
        <v>2023</v>
      </c>
      <c r="M1519" t="str">
        <f>IF(Table1[[#This Row],[TotalPrice]]&gt;2000,"High Sales","Low Sales")</f>
        <v>High Sales</v>
      </c>
    </row>
    <row r="1520" spans="1:13" x14ac:dyDescent="0.3">
      <c r="A1520" t="s">
        <v>1411</v>
      </c>
      <c r="B1520" t="s">
        <v>1655</v>
      </c>
      <c r="C1520" s="1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  <c r="K1520" t="str">
        <f>TEXT(Table1[[#This Row],[PurchaseDate]],"mmm")</f>
        <v>Jun</v>
      </c>
      <c r="L1520">
        <f>YEAR(Table1[[#This Row],[PurchaseDate]])</f>
        <v>2023</v>
      </c>
      <c r="M1520" t="str">
        <f>IF(Table1[[#This Row],[TotalPrice]]&gt;2000,"High Sales","Low Sales")</f>
        <v>High Sales</v>
      </c>
    </row>
    <row r="1521" spans="1:13" x14ac:dyDescent="0.3">
      <c r="A1521" t="s">
        <v>1412</v>
      </c>
      <c r="B1521" t="s">
        <v>1657</v>
      </c>
      <c r="C1521" s="1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  <c r="K1521" t="str">
        <f>TEXT(Table1[[#This Row],[PurchaseDate]],"mmm")</f>
        <v>Sep</v>
      </c>
      <c r="L1521">
        <f>YEAR(Table1[[#This Row],[PurchaseDate]])</f>
        <v>2023</v>
      </c>
      <c r="M1521" t="str">
        <f>IF(Table1[[#This Row],[TotalPrice]]&gt;2000,"High Sales","Low Sales")</f>
        <v>High Sales</v>
      </c>
    </row>
    <row r="1522" spans="1:13" x14ac:dyDescent="0.3">
      <c r="A1522" t="s">
        <v>1413</v>
      </c>
      <c r="B1522" t="s">
        <v>1652</v>
      </c>
      <c r="C1522" s="1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  <c r="K1522" t="str">
        <f>TEXT(Table1[[#This Row],[PurchaseDate]],"mmm")</f>
        <v>Jun</v>
      </c>
      <c r="L1522">
        <f>YEAR(Table1[[#This Row],[PurchaseDate]])</f>
        <v>2023</v>
      </c>
      <c r="M1522" t="str">
        <f>IF(Table1[[#This Row],[TotalPrice]]&gt;2000,"High Sales","Low Sales")</f>
        <v>High Sales</v>
      </c>
    </row>
    <row r="1523" spans="1:13" x14ac:dyDescent="0.3">
      <c r="A1523" t="s">
        <v>1414</v>
      </c>
      <c r="B1523" t="s">
        <v>1657</v>
      </c>
      <c r="C1523" s="1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  <c r="K1523" t="str">
        <f>TEXT(Table1[[#This Row],[PurchaseDate]],"mmm")</f>
        <v>Jul</v>
      </c>
      <c r="L1523">
        <f>YEAR(Table1[[#This Row],[PurchaseDate]])</f>
        <v>2023</v>
      </c>
      <c r="M1523" t="str">
        <f>IF(Table1[[#This Row],[TotalPrice]]&gt;2000,"High Sales","Low Sales")</f>
        <v>High Sales</v>
      </c>
    </row>
    <row r="1524" spans="1:13" x14ac:dyDescent="0.3">
      <c r="A1524" t="s">
        <v>1415</v>
      </c>
      <c r="B1524" t="s">
        <v>1654</v>
      </c>
      <c r="C1524" s="1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  <c r="K1524" t="str">
        <f>TEXT(Table1[[#This Row],[PurchaseDate]],"mmm")</f>
        <v>Feb</v>
      </c>
      <c r="L1524">
        <f>YEAR(Table1[[#This Row],[PurchaseDate]])</f>
        <v>2023</v>
      </c>
      <c r="M1524" t="str">
        <f>IF(Table1[[#This Row],[TotalPrice]]&gt;2000,"High Sales","Low Sales")</f>
        <v>High Sales</v>
      </c>
    </row>
    <row r="1525" spans="1:13" x14ac:dyDescent="0.3">
      <c r="A1525" t="s">
        <v>1416</v>
      </c>
      <c r="B1525" t="s">
        <v>1658</v>
      </c>
      <c r="C1525" s="1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  <c r="K1525" t="str">
        <f>TEXT(Table1[[#This Row],[PurchaseDate]],"mmm")</f>
        <v>Jan</v>
      </c>
      <c r="L1525">
        <f>YEAR(Table1[[#This Row],[PurchaseDate]])</f>
        <v>2024</v>
      </c>
      <c r="M1525" t="str">
        <f>IF(Table1[[#This Row],[TotalPrice]]&gt;2000,"High Sales","Low Sales")</f>
        <v>Low Sales</v>
      </c>
    </row>
    <row r="1526" spans="1:13" x14ac:dyDescent="0.3">
      <c r="A1526" t="s">
        <v>1417</v>
      </c>
      <c r="B1526" t="s">
        <v>1654</v>
      </c>
      <c r="C1526" s="1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  <c r="K1526" t="str">
        <f>TEXT(Table1[[#This Row],[PurchaseDate]],"mmm")</f>
        <v>Jul</v>
      </c>
      <c r="L1526">
        <f>YEAR(Table1[[#This Row],[PurchaseDate]])</f>
        <v>2024</v>
      </c>
      <c r="M1526" t="str">
        <f>IF(Table1[[#This Row],[TotalPrice]]&gt;2000,"High Sales","Low Sales")</f>
        <v>Low Sales</v>
      </c>
    </row>
    <row r="1527" spans="1:13" x14ac:dyDescent="0.3">
      <c r="A1527" t="s">
        <v>1418</v>
      </c>
      <c r="B1527" t="s">
        <v>1653</v>
      </c>
      <c r="C1527" s="1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  <c r="K1527" t="str">
        <f>TEXT(Table1[[#This Row],[PurchaseDate]],"mmm")</f>
        <v>Apr</v>
      </c>
      <c r="L1527">
        <f>YEAR(Table1[[#This Row],[PurchaseDate]])</f>
        <v>2023</v>
      </c>
      <c r="M1527" t="str">
        <f>IF(Table1[[#This Row],[TotalPrice]]&gt;2000,"High Sales","Low Sales")</f>
        <v>Low Sales</v>
      </c>
    </row>
    <row r="1528" spans="1:13" x14ac:dyDescent="0.3">
      <c r="A1528" t="s">
        <v>632</v>
      </c>
      <c r="B1528" t="s">
        <v>1652</v>
      </c>
      <c r="C1528" s="1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  <c r="K1528" t="str">
        <f>TEXT(Table1[[#This Row],[PurchaseDate]],"mmm")</f>
        <v>Jan</v>
      </c>
      <c r="L1528">
        <f>YEAR(Table1[[#This Row],[PurchaseDate]])</f>
        <v>2025</v>
      </c>
      <c r="M1528" t="str">
        <f>IF(Table1[[#This Row],[TotalPrice]]&gt;2000,"High Sales","Low Sales")</f>
        <v>Low Sales</v>
      </c>
    </row>
    <row r="1529" spans="1:13" x14ac:dyDescent="0.3">
      <c r="A1529" t="s">
        <v>1419</v>
      </c>
      <c r="B1529" t="s">
        <v>1657</v>
      </c>
      <c r="C1529" s="1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  <c r="K1529" t="str">
        <f>TEXT(Table1[[#This Row],[PurchaseDate]],"mmm")</f>
        <v>Jan</v>
      </c>
      <c r="L1529">
        <f>YEAR(Table1[[#This Row],[PurchaseDate]])</f>
        <v>2024</v>
      </c>
      <c r="M1529" t="str">
        <f>IF(Table1[[#This Row],[TotalPrice]]&gt;2000,"High Sales","Low Sales")</f>
        <v>Low Sales</v>
      </c>
    </row>
    <row r="1530" spans="1:13" x14ac:dyDescent="0.3">
      <c r="A1530" t="s">
        <v>1420</v>
      </c>
      <c r="B1530" t="s">
        <v>1652</v>
      </c>
      <c r="C1530" s="1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  <c r="K1530" t="str">
        <f>TEXT(Table1[[#This Row],[PurchaseDate]],"mmm")</f>
        <v>Aug</v>
      </c>
      <c r="L1530">
        <f>YEAR(Table1[[#This Row],[PurchaseDate]])</f>
        <v>2024</v>
      </c>
      <c r="M1530" t="str">
        <f>IF(Table1[[#This Row],[TotalPrice]]&gt;2000,"High Sales","Low Sales")</f>
        <v>High Sales</v>
      </c>
    </row>
    <row r="1531" spans="1:13" x14ac:dyDescent="0.3">
      <c r="A1531" t="s">
        <v>1421</v>
      </c>
      <c r="B1531" t="s">
        <v>1656</v>
      </c>
      <c r="C1531" s="1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  <c r="K1531" t="str">
        <f>TEXT(Table1[[#This Row],[PurchaseDate]],"mmm")</f>
        <v>May</v>
      </c>
      <c r="L1531">
        <f>YEAR(Table1[[#This Row],[PurchaseDate]])</f>
        <v>2025</v>
      </c>
      <c r="M1531" t="str">
        <f>IF(Table1[[#This Row],[TotalPrice]]&gt;2000,"High Sales","Low Sales")</f>
        <v>Low Sales</v>
      </c>
    </row>
    <row r="1532" spans="1:13" x14ac:dyDescent="0.3">
      <c r="A1532" t="s">
        <v>1422</v>
      </c>
      <c r="B1532" t="s">
        <v>1658</v>
      </c>
      <c r="C1532" s="1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  <c r="K1532" t="str">
        <f>TEXT(Table1[[#This Row],[PurchaseDate]],"mmm")</f>
        <v>Jan</v>
      </c>
      <c r="L1532">
        <f>YEAR(Table1[[#This Row],[PurchaseDate]])</f>
        <v>2024</v>
      </c>
      <c r="M1532" t="str">
        <f>IF(Table1[[#This Row],[TotalPrice]]&gt;2000,"High Sales","Low Sales")</f>
        <v>High Sales</v>
      </c>
    </row>
    <row r="1533" spans="1:13" x14ac:dyDescent="0.3">
      <c r="A1533" t="s">
        <v>1423</v>
      </c>
      <c r="B1533" t="s">
        <v>1656</v>
      </c>
      <c r="C1533" s="1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  <c r="K1533" t="str">
        <f>TEXT(Table1[[#This Row],[PurchaseDate]],"mmm")</f>
        <v>Jun</v>
      </c>
      <c r="L1533">
        <f>YEAR(Table1[[#This Row],[PurchaseDate]])</f>
        <v>2025</v>
      </c>
      <c r="M1533" t="str">
        <f>IF(Table1[[#This Row],[TotalPrice]]&gt;2000,"High Sales","Low Sales")</f>
        <v>Low Sales</v>
      </c>
    </row>
    <row r="1534" spans="1:13" x14ac:dyDescent="0.3">
      <c r="A1534" t="s">
        <v>1424</v>
      </c>
      <c r="B1534" t="s">
        <v>1656</v>
      </c>
      <c r="C1534" s="1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  <c r="K1534" t="str">
        <f>TEXT(Table1[[#This Row],[PurchaseDate]],"mmm")</f>
        <v>Dec</v>
      </c>
      <c r="L1534">
        <f>YEAR(Table1[[#This Row],[PurchaseDate]])</f>
        <v>2024</v>
      </c>
      <c r="M1534" t="str">
        <f>IF(Table1[[#This Row],[TotalPrice]]&gt;2000,"High Sales","Low Sales")</f>
        <v>Low Sales</v>
      </c>
    </row>
    <row r="1535" spans="1:13" x14ac:dyDescent="0.3">
      <c r="A1535" t="s">
        <v>1425</v>
      </c>
      <c r="B1535" t="s">
        <v>1655</v>
      </c>
      <c r="C1535" s="1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  <c r="K1535" t="str">
        <f>TEXT(Table1[[#This Row],[PurchaseDate]],"mmm")</f>
        <v>May</v>
      </c>
      <c r="L1535">
        <f>YEAR(Table1[[#This Row],[PurchaseDate]])</f>
        <v>2024</v>
      </c>
      <c r="M1535" t="str">
        <f>IF(Table1[[#This Row],[TotalPrice]]&gt;2000,"High Sales","Low Sales")</f>
        <v>Low Sales</v>
      </c>
    </row>
    <row r="1536" spans="1:13" x14ac:dyDescent="0.3">
      <c r="A1536" t="s">
        <v>1426</v>
      </c>
      <c r="B1536" t="s">
        <v>1656</v>
      </c>
      <c r="C1536" s="1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  <c r="K1536" t="str">
        <f>TEXT(Table1[[#This Row],[PurchaseDate]],"mmm")</f>
        <v>Aug</v>
      </c>
      <c r="L1536">
        <f>YEAR(Table1[[#This Row],[PurchaseDate]])</f>
        <v>2024</v>
      </c>
      <c r="M1536" t="str">
        <f>IF(Table1[[#This Row],[TotalPrice]]&gt;2000,"High Sales","Low Sales")</f>
        <v>High Sales</v>
      </c>
    </row>
    <row r="1537" spans="1:13" x14ac:dyDescent="0.3">
      <c r="A1537" t="s">
        <v>1427</v>
      </c>
      <c r="B1537" t="s">
        <v>1658</v>
      </c>
      <c r="C1537" s="1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  <c r="K1537" t="str">
        <f>TEXT(Table1[[#This Row],[PurchaseDate]],"mmm")</f>
        <v>Apr</v>
      </c>
      <c r="L1537">
        <f>YEAR(Table1[[#This Row],[PurchaseDate]])</f>
        <v>2023</v>
      </c>
      <c r="M1537" t="str">
        <f>IF(Table1[[#This Row],[TotalPrice]]&gt;2000,"High Sales","Low Sales")</f>
        <v>Low Sales</v>
      </c>
    </row>
    <row r="1538" spans="1:13" x14ac:dyDescent="0.3">
      <c r="A1538" t="s">
        <v>1428</v>
      </c>
      <c r="B1538" t="s">
        <v>1655</v>
      </c>
      <c r="C1538" s="1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  <c r="K1538" t="str">
        <f>TEXT(Table1[[#This Row],[PurchaseDate]],"mmm")</f>
        <v>Sep</v>
      </c>
      <c r="L1538">
        <f>YEAR(Table1[[#This Row],[PurchaseDate]])</f>
        <v>2023</v>
      </c>
      <c r="M1538" t="str">
        <f>IF(Table1[[#This Row],[TotalPrice]]&gt;2000,"High Sales","Low Sales")</f>
        <v>High Sales</v>
      </c>
    </row>
    <row r="1539" spans="1:13" x14ac:dyDescent="0.3">
      <c r="A1539" t="s">
        <v>673</v>
      </c>
      <c r="B1539" t="s">
        <v>1656</v>
      </c>
      <c r="C1539" s="1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  <c r="K1539" t="str">
        <f>TEXT(Table1[[#This Row],[PurchaseDate]],"mmm")</f>
        <v>Sep</v>
      </c>
      <c r="L1539">
        <f>YEAR(Table1[[#This Row],[PurchaseDate]])</f>
        <v>2024</v>
      </c>
      <c r="M1539" t="str">
        <f>IF(Table1[[#This Row],[TotalPrice]]&gt;2000,"High Sales","Low Sales")</f>
        <v>Low Sales</v>
      </c>
    </row>
    <row r="1540" spans="1:13" x14ac:dyDescent="0.3">
      <c r="A1540" t="s">
        <v>1429</v>
      </c>
      <c r="B1540" t="s">
        <v>1653</v>
      </c>
      <c r="C1540" s="1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  <c r="K1540" t="str">
        <f>TEXT(Table1[[#This Row],[PurchaseDate]],"mmm")</f>
        <v>Nov</v>
      </c>
      <c r="L1540">
        <f>YEAR(Table1[[#This Row],[PurchaseDate]])</f>
        <v>2023</v>
      </c>
      <c r="M1540" t="str">
        <f>IF(Table1[[#This Row],[TotalPrice]]&gt;2000,"High Sales","Low Sales")</f>
        <v>Low Sales</v>
      </c>
    </row>
    <row r="1541" spans="1:13" x14ac:dyDescent="0.3">
      <c r="A1541" t="s">
        <v>1430</v>
      </c>
      <c r="B1541" t="s">
        <v>1658</v>
      </c>
      <c r="C1541" s="1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  <c r="K1541" t="str">
        <f>TEXT(Table1[[#This Row],[PurchaseDate]],"mmm")</f>
        <v>May</v>
      </c>
      <c r="L1541">
        <f>YEAR(Table1[[#This Row],[PurchaseDate]])</f>
        <v>2024</v>
      </c>
      <c r="M1541" t="str">
        <f>IF(Table1[[#This Row],[TotalPrice]]&gt;2000,"High Sales","Low Sales")</f>
        <v>Low Sales</v>
      </c>
    </row>
    <row r="1542" spans="1:13" x14ac:dyDescent="0.3">
      <c r="A1542" t="s">
        <v>167</v>
      </c>
      <c r="B1542" t="s">
        <v>1653</v>
      </c>
      <c r="C1542" s="1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  <c r="K1542" t="str">
        <f>TEXT(Table1[[#This Row],[PurchaseDate]],"mmm")</f>
        <v>Mar</v>
      </c>
      <c r="L1542">
        <f>YEAR(Table1[[#This Row],[PurchaseDate]])</f>
        <v>2024</v>
      </c>
      <c r="M1542" t="str">
        <f>IF(Table1[[#This Row],[TotalPrice]]&gt;2000,"High Sales","Low Sales")</f>
        <v>Low Sales</v>
      </c>
    </row>
    <row r="1543" spans="1:13" x14ac:dyDescent="0.3">
      <c r="A1543" t="s">
        <v>1431</v>
      </c>
      <c r="B1543" t="s">
        <v>1653</v>
      </c>
      <c r="C1543" s="1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  <c r="K1543" t="str">
        <f>TEXT(Table1[[#This Row],[PurchaseDate]],"mmm")</f>
        <v>Sep</v>
      </c>
      <c r="L1543">
        <f>YEAR(Table1[[#This Row],[PurchaseDate]])</f>
        <v>2024</v>
      </c>
      <c r="M1543" t="str">
        <f>IF(Table1[[#This Row],[TotalPrice]]&gt;2000,"High Sales","Low Sales")</f>
        <v>High Sales</v>
      </c>
    </row>
    <row r="1544" spans="1:13" x14ac:dyDescent="0.3">
      <c r="A1544" t="s">
        <v>112</v>
      </c>
      <c r="B1544" t="s">
        <v>1658</v>
      </c>
      <c r="C1544" s="1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  <c r="K1544" t="str">
        <f>TEXT(Table1[[#This Row],[PurchaseDate]],"mmm")</f>
        <v>Aug</v>
      </c>
      <c r="L1544">
        <f>YEAR(Table1[[#This Row],[PurchaseDate]])</f>
        <v>2023</v>
      </c>
      <c r="M1544" t="str">
        <f>IF(Table1[[#This Row],[TotalPrice]]&gt;2000,"High Sales","Low Sales")</f>
        <v>Low Sales</v>
      </c>
    </row>
    <row r="1545" spans="1:13" x14ac:dyDescent="0.3">
      <c r="A1545" t="s">
        <v>1432</v>
      </c>
      <c r="B1545" t="s">
        <v>1655</v>
      </c>
      <c r="C1545" s="1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  <c r="K1545" t="str">
        <f>TEXT(Table1[[#This Row],[PurchaseDate]],"mmm")</f>
        <v>Mar</v>
      </c>
      <c r="L1545">
        <f>YEAR(Table1[[#This Row],[PurchaseDate]])</f>
        <v>2023</v>
      </c>
      <c r="M1545" t="str">
        <f>IF(Table1[[#This Row],[TotalPrice]]&gt;2000,"High Sales","Low Sales")</f>
        <v>High Sales</v>
      </c>
    </row>
    <row r="1546" spans="1:13" x14ac:dyDescent="0.3">
      <c r="A1546" t="s">
        <v>162</v>
      </c>
      <c r="B1546" t="s">
        <v>1653</v>
      </c>
      <c r="C1546" s="1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  <c r="K1546" t="str">
        <f>TEXT(Table1[[#This Row],[PurchaseDate]],"mmm")</f>
        <v>Apr</v>
      </c>
      <c r="L1546">
        <f>YEAR(Table1[[#This Row],[PurchaseDate]])</f>
        <v>2024</v>
      </c>
      <c r="M1546" t="str">
        <f>IF(Table1[[#This Row],[TotalPrice]]&gt;2000,"High Sales","Low Sales")</f>
        <v>High Sales</v>
      </c>
    </row>
    <row r="1547" spans="1:13" x14ac:dyDescent="0.3">
      <c r="A1547" t="s">
        <v>1433</v>
      </c>
      <c r="B1547" t="s">
        <v>1656</v>
      </c>
      <c r="C1547" s="1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  <c r="K1547" t="str">
        <f>TEXT(Table1[[#This Row],[PurchaseDate]],"mmm")</f>
        <v>May</v>
      </c>
      <c r="L1547">
        <f>YEAR(Table1[[#This Row],[PurchaseDate]])</f>
        <v>2023</v>
      </c>
      <c r="M1547" t="str">
        <f>IF(Table1[[#This Row],[TotalPrice]]&gt;2000,"High Sales","Low Sales")</f>
        <v>Low Sales</v>
      </c>
    </row>
    <row r="1548" spans="1:13" x14ac:dyDescent="0.3">
      <c r="A1548" t="s">
        <v>957</v>
      </c>
      <c r="B1548" t="s">
        <v>1657</v>
      </c>
      <c r="C1548" s="1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  <c r="K1548" t="str">
        <f>TEXT(Table1[[#This Row],[PurchaseDate]],"mmm")</f>
        <v>Apr</v>
      </c>
      <c r="L1548">
        <f>YEAR(Table1[[#This Row],[PurchaseDate]])</f>
        <v>2025</v>
      </c>
      <c r="M1548" t="str">
        <f>IF(Table1[[#This Row],[TotalPrice]]&gt;2000,"High Sales","Low Sales")</f>
        <v>Low Sales</v>
      </c>
    </row>
    <row r="1549" spans="1:13" x14ac:dyDescent="0.3">
      <c r="A1549" t="s">
        <v>1434</v>
      </c>
      <c r="B1549" t="s">
        <v>1652</v>
      </c>
      <c r="C1549" s="1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  <c r="K1549" t="str">
        <f>TEXT(Table1[[#This Row],[PurchaseDate]],"mmm")</f>
        <v>Feb</v>
      </c>
      <c r="L1549">
        <f>YEAR(Table1[[#This Row],[PurchaseDate]])</f>
        <v>2023</v>
      </c>
      <c r="M1549" t="str">
        <f>IF(Table1[[#This Row],[TotalPrice]]&gt;2000,"High Sales","Low Sales")</f>
        <v>Low Sales</v>
      </c>
    </row>
    <row r="1550" spans="1:13" x14ac:dyDescent="0.3">
      <c r="A1550" t="s">
        <v>1435</v>
      </c>
      <c r="B1550" t="s">
        <v>1655</v>
      </c>
      <c r="C1550" s="1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  <c r="K1550" t="str">
        <f>TEXT(Table1[[#This Row],[PurchaseDate]],"mmm")</f>
        <v>Mar</v>
      </c>
      <c r="L1550">
        <f>YEAR(Table1[[#This Row],[PurchaseDate]])</f>
        <v>2025</v>
      </c>
      <c r="M1550" t="str">
        <f>IF(Table1[[#This Row],[TotalPrice]]&gt;2000,"High Sales","Low Sales")</f>
        <v>Low Sales</v>
      </c>
    </row>
    <row r="1551" spans="1:13" x14ac:dyDescent="0.3">
      <c r="A1551" t="s">
        <v>1436</v>
      </c>
      <c r="B1551" t="s">
        <v>1654</v>
      </c>
      <c r="C1551" s="1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  <c r="K1551" t="str">
        <f>TEXT(Table1[[#This Row],[PurchaseDate]],"mmm")</f>
        <v>Feb</v>
      </c>
      <c r="L1551">
        <f>YEAR(Table1[[#This Row],[PurchaseDate]])</f>
        <v>2023</v>
      </c>
      <c r="M1551" t="str">
        <f>IF(Table1[[#This Row],[TotalPrice]]&gt;2000,"High Sales","Low Sales")</f>
        <v>High Sales</v>
      </c>
    </row>
    <row r="1552" spans="1:13" x14ac:dyDescent="0.3">
      <c r="A1552" t="s">
        <v>1437</v>
      </c>
      <c r="B1552" t="s">
        <v>1656</v>
      </c>
      <c r="C1552" s="1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  <c r="K1552" t="str">
        <f>TEXT(Table1[[#This Row],[PurchaseDate]],"mmm")</f>
        <v>Dec</v>
      </c>
      <c r="L1552">
        <f>YEAR(Table1[[#This Row],[PurchaseDate]])</f>
        <v>2023</v>
      </c>
      <c r="M1552" t="str">
        <f>IF(Table1[[#This Row],[TotalPrice]]&gt;2000,"High Sales","Low Sales")</f>
        <v>Low Sales</v>
      </c>
    </row>
    <row r="1553" spans="1:13" x14ac:dyDescent="0.3">
      <c r="A1553" t="s">
        <v>1438</v>
      </c>
      <c r="B1553" t="s">
        <v>1653</v>
      </c>
      <c r="C1553" s="1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  <c r="K1553" t="str">
        <f>TEXT(Table1[[#This Row],[PurchaseDate]],"mmm")</f>
        <v>Apr</v>
      </c>
      <c r="L1553">
        <f>YEAR(Table1[[#This Row],[PurchaseDate]])</f>
        <v>2023</v>
      </c>
      <c r="M1553" t="str">
        <f>IF(Table1[[#This Row],[TotalPrice]]&gt;2000,"High Sales","Low Sales")</f>
        <v>Low Sales</v>
      </c>
    </row>
    <row r="1554" spans="1:13" x14ac:dyDescent="0.3">
      <c r="A1554" t="s">
        <v>1439</v>
      </c>
      <c r="B1554" t="s">
        <v>1652</v>
      </c>
      <c r="C1554" s="1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  <c r="K1554" t="str">
        <f>TEXT(Table1[[#This Row],[PurchaseDate]],"mmm")</f>
        <v>Feb</v>
      </c>
      <c r="L1554">
        <f>YEAR(Table1[[#This Row],[PurchaseDate]])</f>
        <v>2024</v>
      </c>
      <c r="M1554" t="str">
        <f>IF(Table1[[#This Row],[TotalPrice]]&gt;2000,"High Sales","Low Sales")</f>
        <v>Low Sales</v>
      </c>
    </row>
    <row r="1555" spans="1:13" x14ac:dyDescent="0.3">
      <c r="A1555" t="s">
        <v>1440</v>
      </c>
      <c r="B1555" t="s">
        <v>1652</v>
      </c>
      <c r="C1555" s="1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  <c r="K1555" t="str">
        <f>TEXT(Table1[[#This Row],[PurchaseDate]],"mmm")</f>
        <v>Apr</v>
      </c>
      <c r="L1555">
        <f>YEAR(Table1[[#This Row],[PurchaseDate]])</f>
        <v>2025</v>
      </c>
      <c r="M1555" t="str">
        <f>IF(Table1[[#This Row],[TotalPrice]]&gt;2000,"High Sales","Low Sales")</f>
        <v>High Sales</v>
      </c>
    </row>
    <row r="1556" spans="1:13" x14ac:dyDescent="0.3">
      <c r="A1556" t="s">
        <v>1441</v>
      </c>
      <c r="B1556" t="s">
        <v>1655</v>
      </c>
      <c r="C1556" s="1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  <c r="K1556" t="str">
        <f>TEXT(Table1[[#This Row],[PurchaseDate]],"mmm")</f>
        <v>Jun</v>
      </c>
      <c r="L1556">
        <f>YEAR(Table1[[#This Row],[PurchaseDate]])</f>
        <v>2023</v>
      </c>
      <c r="M1556" t="str">
        <f>IF(Table1[[#This Row],[TotalPrice]]&gt;2000,"High Sales","Low Sales")</f>
        <v>Low Sales</v>
      </c>
    </row>
    <row r="1557" spans="1:13" x14ac:dyDescent="0.3">
      <c r="A1557" t="s">
        <v>1442</v>
      </c>
      <c r="B1557" t="s">
        <v>1654</v>
      </c>
      <c r="C1557" s="1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  <c r="K1557" t="str">
        <f>TEXT(Table1[[#This Row],[PurchaseDate]],"mmm")</f>
        <v>Jun</v>
      </c>
      <c r="L1557">
        <f>YEAR(Table1[[#This Row],[PurchaseDate]])</f>
        <v>2024</v>
      </c>
      <c r="M1557" t="str">
        <f>IF(Table1[[#This Row],[TotalPrice]]&gt;2000,"High Sales","Low Sales")</f>
        <v>Low Sales</v>
      </c>
    </row>
    <row r="1558" spans="1:13" x14ac:dyDescent="0.3">
      <c r="A1558" t="s">
        <v>1443</v>
      </c>
      <c r="B1558" t="s">
        <v>1652</v>
      </c>
      <c r="C1558" s="1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  <c r="K1558" t="str">
        <f>TEXT(Table1[[#This Row],[PurchaseDate]],"mmm")</f>
        <v>Jul</v>
      </c>
      <c r="L1558">
        <f>YEAR(Table1[[#This Row],[PurchaseDate]])</f>
        <v>2023</v>
      </c>
      <c r="M1558" t="str">
        <f>IF(Table1[[#This Row],[TotalPrice]]&gt;2000,"High Sales","Low Sales")</f>
        <v>High Sales</v>
      </c>
    </row>
    <row r="1559" spans="1:13" x14ac:dyDescent="0.3">
      <c r="A1559" t="s">
        <v>1444</v>
      </c>
      <c r="B1559" t="s">
        <v>1653</v>
      </c>
      <c r="C1559" s="1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  <c r="K1559" t="str">
        <f>TEXT(Table1[[#This Row],[PurchaseDate]],"mmm")</f>
        <v>Dec</v>
      </c>
      <c r="L1559">
        <f>YEAR(Table1[[#This Row],[PurchaseDate]])</f>
        <v>2023</v>
      </c>
      <c r="M1559" t="str">
        <f>IF(Table1[[#This Row],[TotalPrice]]&gt;2000,"High Sales","Low Sales")</f>
        <v>Low Sales</v>
      </c>
    </row>
    <row r="1560" spans="1:13" x14ac:dyDescent="0.3">
      <c r="A1560" t="s">
        <v>1445</v>
      </c>
      <c r="B1560" t="s">
        <v>1658</v>
      </c>
      <c r="C1560" s="1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  <c r="K1560" t="str">
        <f>TEXT(Table1[[#This Row],[PurchaseDate]],"mmm")</f>
        <v>Oct</v>
      </c>
      <c r="L1560">
        <f>YEAR(Table1[[#This Row],[PurchaseDate]])</f>
        <v>2023</v>
      </c>
      <c r="M1560" t="str">
        <f>IF(Table1[[#This Row],[TotalPrice]]&gt;2000,"High Sales","Low Sales")</f>
        <v>Low Sales</v>
      </c>
    </row>
    <row r="1561" spans="1:13" x14ac:dyDescent="0.3">
      <c r="A1561" t="s">
        <v>1188</v>
      </c>
      <c r="B1561" t="s">
        <v>1656</v>
      </c>
      <c r="C1561" s="1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  <c r="K1561" t="str">
        <f>TEXT(Table1[[#This Row],[PurchaseDate]],"mmm")</f>
        <v>Jul</v>
      </c>
      <c r="L1561">
        <f>YEAR(Table1[[#This Row],[PurchaseDate]])</f>
        <v>2024</v>
      </c>
      <c r="M1561" t="str">
        <f>IF(Table1[[#This Row],[TotalPrice]]&gt;2000,"High Sales","Low Sales")</f>
        <v>Low Sales</v>
      </c>
    </row>
    <row r="1562" spans="1:13" x14ac:dyDescent="0.3">
      <c r="A1562" t="s">
        <v>1446</v>
      </c>
      <c r="B1562" t="s">
        <v>1652</v>
      </c>
      <c r="C1562" s="1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  <c r="K1562" t="str">
        <f>TEXT(Table1[[#This Row],[PurchaseDate]],"mmm")</f>
        <v>Aug</v>
      </c>
      <c r="L1562">
        <f>YEAR(Table1[[#This Row],[PurchaseDate]])</f>
        <v>2024</v>
      </c>
      <c r="M1562" t="str">
        <f>IF(Table1[[#This Row],[TotalPrice]]&gt;2000,"High Sales","Low Sales")</f>
        <v>Low Sales</v>
      </c>
    </row>
    <row r="1563" spans="1:13" x14ac:dyDescent="0.3">
      <c r="A1563" t="s">
        <v>1447</v>
      </c>
      <c r="B1563" t="s">
        <v>1655</v>
      </c>
      <c r="C1563" s="1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  <c r="K1563" t="str">
        <f>TEXT(Table1[[#This Row],[PurchaseDate]],"mmm")</f>
        <v>May</v>
      </c>
      <c r="L1563">
        <f>YEAR(Table1[[#This Row],[PurchaseDate]])</f>
        <v>2024</v>
      </c>
      <c r="M1563" t="str">
        <f>IF(Table1[[#This Row],[TotalPrice]]&gt;2000,"High Sales","Low Sales")</f>
        <v>Low Sales</v>
      </c>
    </row>
    <row r="1564" spans="1:13" x14ac:dyDescent="0.3">
      <c r="A1564" t="s">
        <v>1448</v>
      </c>
      <c r="B1564" t="s">
        <v>1653</v>
      </c>
      <c r="C1564" s="1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  <c r="K1564" t="str">
        <f>TEXT(Table1[[#This Row],[PurchaseDate]],"mmm")</f>
        <v>Jan</v>
      </c>
      <c r="L1564">
        <f>YEAR(Table1[[#This Row],[PurchaseDate]])</f>
        <v>2025</v>
      </c>
      <c r="M1564" t="str">
        <f>IF(Table1[[#This Row],[TotalPrice]]&gt;2000,"High Sales","Low Sales")</f>
        <v>High Sales</v>
      </c>
    </row>
    <row r="1565" spans="1:13" x14ac:dyDescent="0.3">
      <c r="A1565" t="s">
        <v>981</v>
      </c>
      <c r="B1565" t="s">
        <v>1652</v>
      </c>
      <c r="C1565" s="1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  <c r="K1565" t="str">
        <f>TEXT(Table1[[#This Row],[PurchaseDate]],"mmm")</f>
        <v>Jun</v>
      </c>
      <c r="L1565">
        <f>YEAR(Table1[[#This Row],[PurchaseDate]])</f>
        <v>2025</v>
      </c>
      <c r="M1565" t="str">
        <f>IF(Table1[[#This Row],[TotalPrice]]&gt;2000,"High Sales","Low Sales")</f>
        <v>Low Sales</v>
      </c>
    </row>
    <row r="1566" spans="1:13" x14ac:dyDescent="0.3">
      <c r="A1566" t="s">
        <v>1449</v>
      </c>
      <c r="B1566" t="s">
        <v>1653</v>
      </c>
      <c r="C1566" s="1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  <c r="K1566" t="str">
        <f>TEXT(Table1[[#This Row],[PurchaseDate]],"mmm")</f>
        <v>Oct</v>
      </c>
      <c r="L1566">
        <f>YEAR(Table1[[#This Row],[PurchaseDate]])</f>
        <v>2024</v>
      </c>
      <c r="M1566" t="str">
        <f>IF(Table1[[#This Row],[TotalPrice]]&gt;2000,"High Sales","Low Sales")</f>
        <v>Low Sales</v>
      </c>
    </row>
    <row r="1567" spans="1:13" x14ac:dyDescent="0.3">
      <c r="A1567" t="s">
        <v>970</v>
      </c>
      <c r="B1567" t="s">
        <v>1654</v>
      </c>
      <c r="C1567" s="1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  <c r="K1567" t="str">
        <f>TEXT(Table1[[#This Row],[PurchaseDate]],"mmm")</f>
        <v>Dec</v>
      </c>
      <c r="L1567">
        <f>YEAR(Table1[[#This Row],[PurchaseDate]])</f>
        <v>2024</v>
      </c>
      <c r="M1567" t="str">
        <f>IF(Table1[[#This Row],[TotalPrice]]&gt;2000,"High Sales","Low Sales")</f>
        <v>High Sales</v>
      </c>
    </row>
    <row r="1568" spans="1:13" x14ac:dyDescent="0.3">
      <c r="A1568" t="s">
        <v>1450</v>
      </c>
      <c r="B1568" t="s">
        <v>1658</v>
      </c>
      <c r="C1568" s="1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  <c r="K1568" t="str">
        <f>TEXT(Table1[[#This Row],[PurchaseDate]],"mmm")</f>
        <v>Aug</v>
      </c>
      <c r="L1568">
        <f>YEAR(Table1[[#This Row],[PurchaseDate]])</f>
        <v>2024</v>
      </c>
      <c r="M1568" t="str">
        <f>IF(Table1[[#This Row],[TotalPrice]]&gt;2000,"High Sales","Low Sales")</f>
        <v>Low Sales</v>
      </c>
    </row>
    <row r="1569" spans="1:13" x14ac:dyDescent="0.3">
      <c r="A1569" t="s">
        <v>1451</v>
      </c>
      <c r="B1569" t="s">
        <v>1654</v>
      </c>
      <c r="C1569" s="1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  <c r="K1569" t="str">
        <f>TEXT(Table1[[#This Row],[PurchaseDate]],"mmm")</f>
        <v>Jan</v>
      </c>
      <c r="L1569">
        <f>YEAR(Table1[[#This Row],[PurchaseDate]])</f>
        <v>2025</v>
      </c>
      <c r="M1569" t="str">
        <f>IF(Table1[[#This Row],[TotalPrice]]&gt;2000,"High Sales","Low Sales")</f>
        <v>High Sales</v>
      </c>
    </row>
    <row r="1570" spans="1:13" x14ac:dyDescent="0.3">
      <c r="A1570" t="s">
        <v>1452</v>
      </c>
      <c r="B1570" t="s">
        <v>1657</v>
      </c>
      <c r="C1570" s="1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  <c r="K1570" t="str">
        <f>TEXT(Table1[[#This Row],[PurchaseDate]],"mmm")</f>
        <v>Dec</v>
      </c>
      <c r="L1570">
        <f>YEAR(Table1[[#This Row],[PurchaseDate]])</f>
        <v>2023</v>
      </c>
      <c r="M1570" t="str">
        <f>IF(Table1[[#This Row],[TotalPrice]]&gt;2000,"High Sales","Low Sales")</f>
        <v>Low Sales</v>
      </c>
    </row>
    <row r="1571" spans="1:13" x14ac:dyDescent="0.3">
      <c r="A1571" t="s">
        <v>1453</v>
      </c>
      <c r="B1571" t="s">
        <v>1657</v>
      </c>
      <c r="C1571" s="1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  <c r="K1571" t="str">
        <f>TEXT(Table1[[#This Row],[PurchaseDate]],"mmm")</f>
        <v>Jun</v>
      </c>
      <c r="L1571">
        <f>YEAR(Table1[[#This Row],[PurchaseDate]])</f>
        <v>2024</v>
      </c>
      <c r="M1571" t="str">
        <f>IF(Table1[[#This Row],[TotalPrice]]&gt;2000,"High Sales","Low Sales")</f>
        <v>High Sales</v>
      </c>
    </row>
    <row r="1572" spans="1:13" x14ac:dyDescent="0.3">
      <c r="A1572" t="s">
        <v>1454</v>
      </c>
      <c r="B1572" t="s">
        <v>1655</v>
      </c>
      <c r="C1572" s="1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  <c r="K1572" t="str">
        <f>TEXT(Table1[[#This Row],[PurchaseDate]],"mmm")</f>
        <v>Sep</v>
      </c>
      <c r="L1572">
        <f>YEAR(Table1[[#This Row],[PurchaseDate]])</f>
        <v>2023</v>
      </c>
      <c r="M1572" t="str">
        <f>IF(Table1[[#This Row],[TotalPrice]]&gt;2000,"High Sales","Low Sales")</f>
        <v>Low Sales</v>
      </c>
    </row>
    <row r="1573" spans="1:13" x14ac:dyDescent="0.3">
      <c r="A1573" t="s">
        <v>199</v>
      </c>
      <c r="B1573" t="s">
        <v>1658</v>
      </c>
      <c r="C1573" s="1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  <c r="K1573" t="str">
        <f>TEXT(Table1[[#This Row],[PurchaseDate]],"mmm")</f>
        <v>Nov</v>
      </c>
      <c r="L1573">
        <f>YEAR(Table1[[#This Row],[PurchaseDate]])</f>
        <v>2023</v>
      </c>
      <c r="M1573" t="str">
        <f>IF(Table1[[#This Row],[TotalPrice]]&gt;2000,"High Sales","Low Sales")</f>
        <v>Low Sales</v>
      </c>
    </row>
    <row r="1574" spans="1:13" x14ac:dyDescent="0.3">
      <c r="A1574" t="s">
        <v>1455</v>
      </c>
      <c r="B1574" t="s">
        <v>1655</v>
      </c>
      <c r="C1574" s="1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  <c r="K1574" t="str">
        <f>TEXT(Table1[[#This Row],[PurchaseDate]],"mmm")</f>
        <v>Oct</v>
      </c>
      <c r="L1574">
        <f>YEAR(Table1[[#This Row],[PurchaseDate]])</f>
        <v>2023</v>
      </c>
      <c r="M1574" t="str">
        <f>IF(Table1[[#This Row],[TotalPrice]]&gt;2000,"High Sales","Low Sales")</f>
        <v>Low Sales</v>
      </c>
    </row>
    <row r="1575" spans="1:13" x14ac:dyDescent="0.3">
      <c r="A1575" t="s">
        <v>1456</v>
      </c>
      <c r="B1575" t="s">
        <v>1653</v>
      </c>
      <c r="C1575" s="1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  <c r="K1575" t="str">
        <f>TEXT(Table1[[#This Row],[PurchaseDate]],"mmm")</f>
        <v>Jan</v>
      </c>
      <c r="L1575">
        <f>YEAR(Table1[[#This Row],[PurchaseDate]])</f>
        <v>2025</v>
      </c>
      <c r="M1575" t="str">
        <f>IF(Table1[[#This Row],[TotalPrice]]&gt;2000,"High Sales","Low Sales")</f>
        <v>Low Sales</v>
      </c>
    </row>
    <row r="1576" spans="1:13" x14ac:dyDescent="0.3">
      <c r="A1576" t="s">
        <v>1457</v>
      </c>
      <c r="B1576" t="s">
        <v>1653</v>
      </c>
      <c r="C1576" s="1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  <c r="K1576" t="str">
        <f>TEXT(Table1[[#This Row],[PurchaseDate]],"mmm")</f>
        <v>Apr</v>
      </c>
      <c r="L1576">
        <f>YEAR(Table1[[#This Row],[PurchaseDate]])</f>
        <v>2024</v>
      </c>
      <c r="M1576" t="str">
        <f>IF(Table1[[#This Row],[TotalPrice]]&gt;2000,"High Sales","Low Sales")</f>
        <v>Low Sales</v>
      </c>
    </row>
    <row r="1577" spans="1:13" x14ac:dyDescent="0.3">
      <c r="A1577" t="s">
        <v>1458</v>
      </c>
      <c r="B1577" t="s">
        <v>1652</v>
      </c>
      <c r="C1577" s="1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  <c r="K1577" t="str">
        <f>TEXT(Table1[[#This Row],[PurchaseDate]],"mmm")</f>
        <v>Nov</v>
      </c>
      <c r="L1577">
        <f>YEAR(Table1[[#This Row],[PurchaseDate]])</f>
        <v>2023</v>
      </c>
      <c r="M1577" t="str">
        <f>IF(Table1[[#This Row],[TotalPrice]]&gt;2000,"High Sales","Low Sales")</f>
        <v>Low Sales</v>
      </c>
    </row>
    <row r="1578" spans="1:13" x14ac:dyDescent="0.3">
      <c r="A1578" t="s">
        <v>1459</v>
      </c>
      <c r="B1578" t="s">
        <v>1658</v>
      </c>
      <c r="C1578" s="1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  <c r="K1578" t="str">
        <f>TEXT(Table1[[#This Row],[PurchaseDate]],"mmm")</f>
        <v>Mar</v>
      </c>
      <c r="L1578">
        <f>YEAR(Table1[[#This Row],[PurchaseDate]])</f>
        <v>2024</v>
      </c>
      <c r="M1578" t="str">
        <f>IF(Table1[[#This Row],[TotalPrice]]&gt;2000,"High Sales","Low Sales")</f>
        <v>High Sales</v>
      </c>
    </row>
    <row r="1579" spans="1:13" x14ac:dyDescent="0.3">
      <c r="A1579" t="s">
        <v>1460</v>
      </c>
      <c r="B1579" t="s">
        <v>1652</v>
      </c>
      <c r="C1579" s="1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  <c r="K1579" t="str">
        <f>TEXT(Table1[[#This Row],[PurchaseDate]],"mmm")</f>
        <v>Nov</v>
      </c>
      <c r="L1579">
        <f>YEAR(Table1[[#This Row],[PurchaseDate]])</f>
        <v>2024</v>
      </c>
      <c r="M1579" t="str">
        <f>IF(Table1[[#This Row],[TotalPrice]]&gt;2000,"High Sales","Low Sales")</f>
        <v>Low Sales</v>
      </c>
    </row>
    <row r="1580" spans="1:13" x14ac:dyDescent="0.3">
      <c r="A1580" t="s">
        <v>1461</v>
      </c>
      <c r="B1580" t="s">
        <v>1658</v>
      </c>
      <c r="C1580" s="1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  <c r="K1580" t="str">
        <f>TEXT(Table1[[#This Row],[PurchaseDate]],"mmm")</f>
        <v>May</v>
      </c>
      <c r="L1580">
        <f>YEAR(Table1[[#This Row],[PurchaseDate]])</f>
        <v>2025</v>
      </c>
      <c r="M1580" t="str">
        <f>IF(Table1[[#This Row],[TotalPrice]]&gt;2000,"High Sales","Low Sales")</f>
        <v>High Sales</v>
      </c>
    </row>
    <row r="1581" spans="1:13" x14ac:dyDescent="0.3">
      <c r="A1581" t="s">
        <v>1462</v>
      </c>
      <c r="B1581" t="s">
        <v>1655</v>
      </c>
      <c r="C1581" s="1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  <c r="K1581" t="str">
        <f>TEXT(Table1[[#This Row],[PurchaseDate]],"mmm")</f>
        <v>May</v>
      </c>
      <c r="L1581">
        <f>YEAR(Table1[[#This Row],[PurchaseDate]])</f>
        <v>2024</v>
      </c>
      <c r="M1581" t="str">
        <f>IF(Table1[[#This Row],[TotalPrice]]&gt;2000,"High Sales","Low Sales")</f>
        <v>Low Sales</v>
      </c>
    </row>
    <row r="1582" spans="1:13" x14ac:dyDescent="0.3">
      <c r="A1582" t="s">
        <v>1463</v>
      </c>
      <c r="B1582" t="s">
        <v>1655</v>
      </c>
      <c r="C1582" s="1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  <c r="K1582" t="str">
        <f>TEXT(Table1[[#This Row],[PurchaseDate]],"mmm")</f>
        <v>Jul</v>
      </c>
      <c r="L1582">
        <f>YEAR(Table1[[#This Row],[PurchaseDate]])</f>
        <v>2023</v>
      </c>
      <c r="M1582" t="str">
        <f>IF(Table1[[#This Row],[TotalPrice]]&gt;2000,"High Sales","Low Sales")</f>
        <v>Low Sales</v>
      </c>
    </row>
    <row r="1583" spans="1:13" x14ac:dyDescent="0.3">
      <c r="A1583" t="s">
        <v>972</v>
      </c>
      <c r="B1583" t="s">
        <v>1658</v>
      </c>
      <c r="C1583" s="1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  <c r="K1583" t="str">
        <f>TEXT(Table1[[#This Row],[PurchaseDate]],"mmm")</f>
        <v>Jul</v>
      </c>
      <c r="L1583">
        <f>YEAR(Table1[[#This Row],[PurchaseDate]])</f>
        <v>2024</v>
      </c>
      <c r="M1583" t="str">
        <f>IF(Table1[[#This Row],[TotalPrice]]&gt;2000,"High Sales","Low Sales")</f>
        <v>Low Sales</v>
      </c>
    </row>
    <row r="1584" spans="1:13" x14ac:dyDescent="0.3">
      <c r="A1584" t="s">
        <v>1464</v>
      </c>
      <c r="B1584" t="s">
        <v>1657</v>
      </c>
      <c r="C1584" s="1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  <c r="K1584" t="str">
        <f>TEXT(Table1[[#This Row],[PurchaseDate]],"mmm")</f>
        <v>Jun</v>
      </c>
      <c r="L1584">
        <f>YEAR(Table1[[#This Row],[PurchaseDate]])</f>
        <v>2025</v>
      </c>
      <c r="M1584" t="str">
        <f>IF(Table1[[#This Row],[TotalPrice]]&gt;2000,"High Sales","Low Sales")</f>
        <v>High Sales</v>
      </c>
    </row>
    <row r="1585" spans="1:13" x14ac:dyDescent="0.3">
      <c r="A1585" t="s">
        <v>1465</v>
      </c>
      <c r="B1585" t="s">
        <v>1652</v>
      </c>
      <c r="C1585" s="1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  <c r="K1585" t="str">
        <f>TEXT(Table1[[#This Row],[PurchaseDate]],"mmm")</f>
        <v>Jan</v>
      </c>
      <c r="L1585">
        <f>YEAR(Table1[[#This Row],[PurchaseDate]])</f>
        <v>2024</v>
      </c>
      <c r="M1585" t="str">
        <f>IF(Table1[[#This Row],[TotalPrice]]&gt;2000,"High Sales","Low Sales")</f>
        <v>High Sales</v>
      </c>
    </row>
    <row r="1586" spans="1:13" x14ac:dyDescent="0.3">
      <c r="A1586" t="s">
        <v>1466</v>
      </c>
      <c r="B1586" t="s">
        <v>1652</v>
      </c>
      <c r="C1586" s="1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  <c r="K1586" t="str">
        <f>TEXT(Table1[[#This Row],[PurchaseDate]],"mmm")</f>
        <v>Mar</v>
      </c>
      <c r="L1586">
        <f>YEAR(Table1[[#This Row],[PurchaseDate]])</f>
        <v>2025</v>
      </c>
      <c r="M1586" t="str">
        <f>IF(Table1[[#This Row],[TotalPrice]]&gt;2000,"High Sales","Low Sales")</f>
        <v>Low Sales</v>
      </c>
    </row>
    <row r="1587" spans="1:13" x14ac:dyDescent="0.3">
      <c r="A1587" t="s">
        <v>1467</v>
      </c>
      <c r="B1587" t="s">
        <v>1654</v>
      </c>
      <c r="C1587" s="1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  <c r="K1587" t="str">
        <f>TEXT(Table1[[#This Row],[PurchaseDate]],"mmm")</f>
        <v>Sep</v>
      </c>
      <c r="L1587">
        <f>YEAR(Table1[[#This Row],[PurchaseDate]])</f>
        <v>2023</v>
      </c>
      <c r="M1587" t="str">
        <f>IF(Table1[[#This Row],[TotalPrice]]&gt;2000,"High Sales","Low Sales")</f>
        <v>Low Sales</v>
      </c>
    </row>
    <row r="1588" spans="1:13" x14ac:dyDescent="0.3">
      <c r="A1588" t="s">
        <v>1468</v>
      </c>
      <c r="B1588" t="s">
        <v>1656</v>
      </c>
      <c r="C1588" s="1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  <c r="K1588" t="str">
        <f>TEXT(Table1[[#This Row],[PurchaseDate]],"mmm")</f>
        <v>Jun</v>
      </c>
      <c r="L1588">
        <f>YEAR(Table1[[#This Row],[PurchaseDate]])</f>
        <v>2024</v>
      </c>
      <c r="M1588" t="str">
        <f>IF(Table1[[#This Row],[TotalPrice]]&gt;2000,"High Sales","Low Sales")</f>
        <v>High Sales</v>
      </c>
    </row>
    <row r="1589" spans="1:13" x14ac:dyDescent="0.3">
      <c r="A1589" t="s">
        <v>1469</v>
      </c>
      <c r="B1589" t="s">
        <v>1657</v>
      </c>
      <c r="C1589" s="1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  <c r="K1589" t="str">
        <f>TEXT(Table1[[#This Row],[PurchaseDate]],"mmm")</f>
        <v>May</v>
      </c>
      <c r="L1589">
        <f>YEAR(Table1[[#This Row],[PurchaseDate]])</f>
        <v>2025</v>
      </c>
      <c r="M1589" t="str">
        <f>IF(Table1[[#This Row],[TotalPrice]]&gt;2000,"High Sales","Low Sales")</f>
        <v>Low Sales</v>
      </c>
    </row>
    <row r="1590" spans="1:13" x14ac:dyDescent="0.3">
      <c r="A1590" t="s">
        <v>1470</v>
      </c>
      <c r="B1590" t="s">
        <v>1658</v>
      </c>
      <c r="C1590" s="1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  <c r="K1590" t="str">
        <f>TEXT(Table1[[#This Row],[PurchaseDate]],"mmm")</f>
        <v>Aug</v>
      </c>
      <c r="L1590">
        <f>YEAR(Table1[[#This Row],[PurchaseDate]])</f>
        <v>2024</v>
      </c>
      <c r="M1590" t="str">
        <f>IF(Table1[[#This Row],[TotalPrice]]&gt;2000,"High Sales","Low Sales")</f>
        <v>High Sales</v>
      </c>
    </row>
    <row r="1591" spans="1:13" x14ac:dyDescent="0.3">
      <c r="A1591" t="s">
        <v>1471</v>
      </c>
      <c r="B1591" t="s">
        <v>1652</v>
      </c>
      <c r="C1591" s="1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  <c r="K1591" t="str">
        <f>TEXT(Table1[[#This Row],[PurchaseDate]],"mmm")</f>
        <v>Jul</v>
      </c>
      <c r="L1591">
        <f>YEAR(Table1[[#This Row],[PurchaseDate]])</f>
        <v>2023</v>
      </c>
      <c r="M1591" t="str">
        <f>IF(Table1[[#This Row],[TotalPrice]]&gt;2000,"High Sales","Low Sales")</f>
        <v>Low Sales</v>
      </c>
    </row>
    <row r="1592" spans="1:13" x14ac:dyDescent="0.3">
      <c r="A1592" t="s">
        <v>1472</v>
      </c>
      <c r="B1592" t="s">
        <v>1652</v>
      </c>
      <c r="C1592" s="1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  <c r="K1592" t="str">
        <f>TEXT(Table1[[#This Row],[PurchaseDate]],"mmm")</f>
        <v>Aug</v>
      </c>
      <c r="L1592">
        <f>YEAR(Table1[[#This Row],[PurchaseDate]])</f>
        <v>2024</v>
      </c>
      <c r="M1592" t="str">
        <f>IF(Table1[[#This Row],[TotalPrice]]&gt;2000,"High Sales","Low Sales")</f>
        <v>High Sales</v>
      </c>
    </row>
    <row r="1593" spans="1:13" x14ac:dyDescent="0.3">
      <c r="A1593" t="s">
        <v>833</v>
      </c>
      <c r="B1593" t="s">
        <v>1652</v>
      </c>
      <c r="C1593" s="1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  <c r="K1593" t="str">
        <f>TEXT(Table1[[#This Row],[PurchaseDate]],"mmm")</f>
        <v>Apr</v>
      </c>
      <c r="L1593">
        <f>YEAR(Table1[[#This Row],[PurchaseDate]])</f>
        <v>2024</v>
      </c>
      <c r="M1593" t="str">
        <f>IF(Table1[[#This Row],[TotalPrice]]&gt;2000,"High Sales","Low Sales")</f>
        <v>Low Sales</v>
      </c>
    </row>
    <row r="1594" spans="1:13" x14ac:dyDescent="0.3">
      <c r="A1594" t="s">
        <v>1473</v>
      </c>
      <c r="B1594" t="s">
        <v>1653</v>
      </c>
      <c r="C1594" s="1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  <c r="K1594" t="str">
        <f>TEXT(Table1[[#This Row],[PurchaseDate]],"mmm")</f>
        <v>Jan</v>
      </c>
      <c r="L1594">
        <f>YEAR(Table1[[#This Row],[PurchaseDate]])</f>
        <v>2023</v>
      </c>
      <c r="M1594" t="str">
        <f>IF(Table1[[#This Row],[TotalPrice]]&gt;2000,"High Sales","Low Sales")</f>
        <v>Low Sales</v>
      </c>
    </row>
    <row r="1595" spans="1:13" x14ac:dyDescent="0.3">
      <c r="A1595" t="s">
        <v>1474</v>
      </c>
      <c r="B1595" t="s">
        <v>1652</v>
      </c>
      <c r="C1595" s="1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  <c r="K1595" t="str">
        <f>TEXT(Table1[[#This Row],[PurchaseDate]],"mmm")</f>
        <v>Dec</v>
      </c>
      <c r="L1595">
        <f>YEAR(Table1[[#This Row],[PurchaseDate]])</f>
        <v>2023</v>
      </c>
      <c r="M1595" t="str">
        <f>IF(Table1[[#This Row],[TotalPrice]]&gt;2000,"High Sales","Low Sales")</f>
        <v>Low Sales</v>
      </c>
    </row>
    <row r="1596" spans="1:13" x14ac:dyDescent="0.3">
      <c r="A1596" t="s">
        <v>1475</v>
      </c>
      <c r="B1596" t="s">
        <v>1656</v>
      </c>
      <c r="C1596" s="1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  <c r="K1596" t="str">
        <f>TEXT(Table1[[#This Row],[PurchaseDate]],"mmm")</f>
        <v>Aug</v>
      </c>
      <c r="L1596">
        <f>YEAR(Table1[[#This Row],[PurchaseDate]])</f>
        <v>2023</v>
      </c>
      <c r="M1596" t="str">
        <f>IF(Table1[[#This Row],[TotalPrice]]&gt;2000,"High Sales","Low Sales")</f>
        <v>Low Sales</v>
      </c>
    </row>
    <row r="1597" spans="1:13" x14ac:dyDescent="0.3">
      <c r="A1597" t="s">
        <v>1476</v>
      </c>
      <c r="B1597" t="s">
        <v>1652</v>
      </c>
      <c r="C1597" s="1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  <c r="K1597" t="str">
        <f>TEXT(Table1[[#This Row],[PurchaseDate]],"mmm")</f>
        <v>May</v>
      </c>
      <c r="L1597">
        <f>YEAR(Table1[[#This Row],[PurchaseDate]])</f>
        <v>2025</v>
      </c>
      <c r="M1597" t="str">
        <f>IF(Table1[[#This Row],[TotalPrice]]&gt;2000,"High Sales","Low Sales")</f>
        <v>Low Sales</v>
      </c>
    </row>
    <row r="1598" spans="1:13" x14ac:dyDescent="0.3">
      <c r="A1598" t="s">
        <v>1477</v>
      </c>
      <c r="B1598" t="s">
        <v>1653</v>
      </c>
      <c r="C1598" s="1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  <c r="K1598" t="str">
        <f>TEXT(Table1[[#This Row],[PurchaseDate]],"mmm")</f>
        <v>Mar</v>
      </c>
      <c r="L1598">
        <f>YEAR(Table1[[#This Row],[PurchaseDate]])</f>
        <v>2023</v>
      </c>
      <c r="M1598" t="str">
        <f>IF(Table1[[#This Row],[TotalPrice]]&gt;2000,"High Sales","Low Sales")</f>
        <v>Low Sales</v>
      </c>
    </row>
    <row r="1599" spans="1:13" x14ac:dyDescent="0.3">
      <c r="A1599" t="s">
        <v>1478</v>
      </c>
      <c r="B1599" t="s">
        <v>1652</v>
      </c>
      <c r="C1599" s="1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  <c r="K1599" t="str">
        <f>TEXT(Table1[[#This Row],[PurchaseDate]],"mmm")</f>
        <v>Sep</v>
      </c>
      <c r="L1599">
        <f>YEAR(Table1[[#This Row],[PurchaseDate]])</f>
        <v>2024</v>
      </c>
      <c r="M1599" t="str">
        <f>IF(Table1[[#This Row],[TotalPrice]]&gt;2000,"High Sales","Low Sales")</f>
        <v>High Sales</v>
      </c>
    </row>
    <row r="1600" spans="1:13" x14ac:dyDescent="0.3">
      <c r="A1600" t="s">
        <v>1479</v>
      </c>
      <c r="B1600" t="s">
        <v>1653</v>
      </c>
      <c r="C1600" s="1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  <c r="K1600" t="str">
        <f>TEXT(Table1[[#This Row],[PurchaseDate]],"mmm")</f>
        <v>Feb</v>
      </c>
      <c r="L1600">
        <f>YEAR(Table1[[#This Row],[PurchaseDate]])</f>
        <v>2025</v>
      </c>
      <c r="M1600" t="str">
        <f>IF(Table1[[#This Row],[TotalPrice]]&gt;2000,"High Sales","Low Sales")</f>
        <v>Low Sales</v>
      </c>
    </row>
    <row r="1601" spans="1:13" x14ac:dyDescent="0.3">
      <c r="A1601" t="s">
        <v>1480</v>
      </c>
      <c r="B1601" t="s">
        <v>1658</v>
      </c>
      <c r="C1601" s="1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  <c r="K1601" t="str">
        <f>TEXT(Table1[[#This Row],[PurchaseDate]],"mmm")</f>
        <v>Apr</v>
      </c>
      <c r="L1601">
        <f>YEAR(Table1[[#This Row],[PurchaseDate]])</f>
        <v>2025</v>
      </c>
      <c r="M1601" t="str">
        <f>IF(Table1[[#This Row],[TotalPrice]]&gt;2000,"High Sales","Low Sales")</f>
        <v>Low Sales</v>
      </c>
    </row>
    <row r="1602" spans="1:13" x14ac:dyDescent="0.3">
      <c r="A1602" t="s">
        <v>1481</v>
      </c>
      <c r="B1602" t="s">
        <v>1654</v>
      </c>
      <c r="C1602" s="1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  <c r="K1602" t="str">
        <f>TEXT(Table1[[#This Row],[PurchaseDate]],"mmm")</f>
        <v>Oct</v>
      </c>
      <c r="L1602">
        <f>YEAR(Table1[[#This Row],[PurchaseDate]])</f>
        <v>2024</v>
      </c>
      <c r="M1602" t="str">
        <f>IF(Table1[[#This Row],[TotalPrice]]&gt;2000,"High Sales","Low Sales")</f>
        <v>Low Sales</v>
      </c>
    </row>
    <row r="1603" spans="1:13" x14ac:dyDescent="0.3">
      <c r="A1603" t="s">
        <v>1482</v>
      </c>
      <c r="B1603" t="s">
        <v>1656</v>
      </c>
      <c r="C1603" s="1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  <c r="K1603" t="str">
        <f>TEXT(Table1[[#This Row],[PurchaseDate]],"mmm")</f>
        <v>Apr</v>
      </c>
      <c r="L1603">
        <f>YEAR(Table1[[#This Row],[PurchaseDate]])</f>
        <v>2023</v>
      </c>
      <c r="M1603" t="str">
        <f>IF(Table1[[#This Row],[TotalPrice]]&gt;2000,"High Sales","Low Sales")</f>
        <v>High Sales</v>
      </c>
    </row>
    <row r="1604" spans="1:13" x14ac:dyDescent="0.3">
      <c r="A1604" t="s">
        <v>1483</v>
      </c>
      <c r="B1604" t="s">
        <v>1656</v>
      </c>
      <c r="C1604" s="1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  <c r="K1604" t="str">
        <f>TEXT(Table1[[#This Row],[PurchaseDate]],"mmm")</f>
        <v>Sep</v>
      </c>
      <c r="L1604">
        <f>YEAR(Table1[[#This Row],[PurchaseDate]])</f>
        <v>2024</v>
      </c>
      <c r="M1604" t="str">
        <f>IF(Table1[[#This Row],[TotalPrice]]&gt;2000,"High Sales","Low Sales")</f>
        <v>High Sales</v>
      </c>
    </row>
    <row r="1605" spans="1:13" x14ac:dyDescent="0.3">
      <c r="A1605" t="s">
        <v>1484</v>
      </c>
      <c r="B1605" t="s">
        <v>1653</v>
      </c>
      <c r="C1605" s="1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  <c r="K1605" t="str">
        <f>TEXT(Table1[[#This Row],[PurchaseDate]],"mmm")</f>
        <v>Apr</v>
      </c>
      <c r="L1605">
        <f>YEAR(Table1[[#This Row],[PurchaseDate]])</f>
        <v>2025</v>
      </c>
      <c r="M1605" t="str">
        <f>IF(Table1[[#This Row],[TotalPrice]]&gt;2000,"High Sales","Low Sales")</f>
        <v>Low Sales</v>
      </c>
    </row>
    <row r="1606" spans="1:13" x14ac:dyDescent="0.3">
      <c r="A1606" t="s">
        <v>1485</v>
      </c>
      <c r="B1606" t="s">
        <v>1652</v>
      </c>
      <c r="C1606" s="1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  <c r="K1606" t="str">
        <f>TEXT(Table1[[#This Row],[PurchaseDate]],"mmm")</f>
        <v>Oct</v>
      </c>
      <c r="L1606">
        <f>YEAR(Table1[[#This Row],[PurchaseDate]])</f>
        <v>2023</v>
      </c>
      <c r="M1606" t="str">
        <f>IF(Table1[[#This Row],[TotalPrice]]&gt;2000,"High Sales","Low Sales")</f>
        <v>Low Sales</v>
      </c>
    </row>
    <row r="1607" spans="1:13" x14ac:dyDescent="0.3">
      <c r="A1607" t="s">
        <v>1486</v>
      </c>
      <c r="B1607" t="s">
        <v>1654</v>
      </c>
      <c r="C1607" s="1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  <c r="K1607" t="str">
        <f>TEXT(Table1[[#This Row],[PurchaseDate]],"mmm")</f>
        <v>May</v>
      </c>
      <c r="L1607">
        <f>YEAR(Table1[[#This Row],[PurchaseDate]])</f>
        <v>2023</v>
      </c>
      <c r="M1607" t="str">
        <f>IF(Table1[[#This Row],[TotalPrice]]&gt;2000,"High Sales","Low Sales")</f>
        <v>High Sales</v>
      </c>
    </row>
    <row r="1608" spans="1:13" x14ac:dyDescent="0.3">
      <c r="A1608" t="s">
        <v>1487</v>
      </c>
      <c r="B1608" t="s">
        <v>1656</v>
      </c>
      <c r="C1608" s="1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  <c r="K1608" t="str">
        <f>TEXT(Table1[[#This Row],[PurchaseDate]],"mmm")</f>
        <v>Jul</v>
      </c>
      <c r="L1608">
        <f>YEAR(Table1[[#This Row],[PurchaseDate]])</f>
        <v>2023</v>
      </c>
      <c r="M1608" t="str">
        <f>IF(Table1[[#This Row],[TotalPrice]]&gt;2000,"High Sales","Low Sales")</f>
        <v>High Sales</v>
      </c>
    </row>
    <row r="1609" spans="1:13" x14ac:dyDescent="0.3">
      <c r="A1609" t="s">
        <v>1488</v>
      </c>
      <c r="B1609" t="s">
        <v>1652</v>
      </c>
      <c r="C1609" s="1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  <c r="K1609" t="str">
        <f>TEXT(Table1[[#This Row],[PurchaseDate]],"mmm")</f>
        <v>Apr</v>
      </c>
      <c r="L1609">
        <f>YEAR(Table1[[#This Row],[PurchaseDate]])</f>
        <v>2024</v>
      </c>
      <c r="M1609" t="str">
        <f>IF(Table1[[#This Row],[TotalPrice]]&gt;2000,"High Sales","Low Sales")</f>
        <v>Low Sales</v>
      </c>
    </row>
    <row r="1610" spans="1:13" x14ac:dyDescent="0.3">
      <c r="A1610" t="s">
        <v>1489</v>
      </c>
      <c r="B1610" t="s">
        <v>1656</v>
      </c>
      <c r="C1610" s="1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  <c r="K1610" t="str">
        <f>TEXT(Table1[[#This Row],[PurchaseDate]],"mmm")</f>
        <v>Jul</v>
      </c>
      <c r="L1610">
        <f>YEAR(Table1[[#This Row],[PurchaseDate]])</f>
        <v>2023</v>
      </c>
      <c r="M1610" t="str">
        <f>IF(Table1[[#This Row],[TotalPrice]]&gt;2000,"High Sales","Low Sales")</f>
        <v>Low Sales</v>
      </c>
    </row>
    <row r="1611" spans="1:13" x14ac:dyDescent="0.3">
      <c r="A1611" t="s">
        <v>1490</v>
      </c>
      <c r="B1611" t="s">
        <v>1657</v>
      </c>
      <c r="C1611" s="1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  <c r="K1611" t="str">
        <f>TEXT(Table1[[#This Row],[PurchaseDate]],"mmm")</f>
        <v>Mar</v>
      </c>
      <c r="L1611">
        <f>YEAR(Table1[[#This Row],[PurchaseDate]])</f>
        <v>2025</v>
      </c>
      <c r="M1611" t="str">
        <f>IF(Table1[[#This Row],[TotalPrice]]&gt;2000,"High Sales","Low Sales")</f>
        <v>High Sales</v>
      </c>
    </row>
    <row r="1612" spans="1:13" x14ac:dyDescent="0.3">
      <c r="A1612" t="s">
        <v>1491</v>
      </c>
      <c r="B1612" t="s">
        <v>1658</v>
      </c>
      <c r="C1612" s="1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  <c r="K1612" t="str">
        <f>TEXT(Table1[[#This Row],[PurchaseDate]],"mmm")</f>
        <v>Jul</v>
      </c>
      <c r="L1612">
        <f>YEAR(Table1[[#This Row],[PurchaseDate]])</f>
        <v>2023</v>
      </c>
      <c r="M1612" t="str">
        <f>IF(Table1[[#This Row],[TotalPrice]]&gt;2000,"High Sales","Low Sales")</f>
        <v>High Sales</v>
      </c>
    </row>
    <row r="1613" spans="1:13" x14ac:dyDescent="0.3">
      <c r="A1613" t="s">
        <v>937</v>
      </c>
      <c r="B1613" t="s">
        <v>1656</v>
      </c>
      <c r="C1613" s="1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  <c r="K1613" t="str">
        <f>TEXT(Table1[[#This Row],[PurchaseDate]],"mmm")</f>
        <v>Aug</v>
      </c>
      <c r="L1613">
        <f>YEAR(Table1[[#This Row],[PurchaseDate]])</f>
        <v>2023</v>
      </c>
      <c r="M1613" t="str">
        <f>IF(Table1[[#This Row],[TotalPrice]]&gt;2000,"High Sales","Low Sales")</f>
        <v>Low Sales</v>
      </c>
    </row>
    <row r="1614" spans="1:13" x14ac:dyDescent="0.3">
      <c r="A1614" t="s">
        <v>1492</v>
      </c>
      <c r="B1614" t="s">
        <v>1657</v>
      </c>
      <c r="C1614" s="1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  <c r="K1614" t="str">
        <f>TEXT(Table1[[#This Row],[PurchaseDate]],"mmm")</f>
        <v>Jun</v>
      </c>
      <c r="L1614">
        <f>YEAR(Table1[[#This Row],[PurchaseDate]])</f>
        <v>2025</v>
      </c>
      <c r="M1614" t="str">
        <f>IF(Table1[[#This Row],[TotalPrice]]&gt;2000,"High Sales","Low Sales")</f>
        <v>Low Sales</v>
      </c>
    </row>
    <row r="1615" spans="1:13" x14ac:dyDescent="0.3">
      <c r="A1615" t="s">
        <v>1493</v>
      </c>
      <c r="B1615" t="s">
        <v>1656</v>
      </c>
      <c r="C1615" s="1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  <c r="K1615" t="str">
        <f>TEXT(Table1[[#This Row],[PurchaseDate]],"mmm")</f>
        <v>Aug</v>
      </c>
      <c r="L1615">
        <f>YEAR(Table1[[#This Row],[PurchaseDate]])</f>
        <v>2024</v>
      </c>
      <c r="M1615" t="str">
        <f>IF(Table1[[#This Row],[TotalPrice]]&gt;2000,"High Sales","Low Sales")</f>
        <v>High Sales</v>
      </c>
    </row>
    <row r="1616" spans="1:13" x14ac:dyDescent="0.3">
      <c r="A1616" t="s">
        <v>1494</v>
      </c>
      <c r="B1616" t="s">
        <v>1656</v>
      </c>
      <c r="C1616" s="1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  <c r="K1616" t="str">
        <f>TEXT(Table1[[#This Row],[PurchaseDate]],"mmm")</f>
        <v>Jul</v>
      </c>
      <c r="L1616">
        <f>YEAR(Table1[[#This Row],[PurchaseDate]])</f>
        <v>2024</v>
      </c>
      <c r="M1616" t="str">
        <f>IF(Table1[[#This Row],[TotalPrice]]&gt;2000,"High Sales","Low Sales")</f>
        <v>Low Sales</v>
      </c>
    </row>
    <row r="1617" spans="1:13" x14ac:dyDescent="0.3">
      <c r="A1617" t="s">
        <v>1495</v>
      </c>
      <c r="B1617" t="s">
        <v>1658</v>
      </c>
      <c r="C1617" s="1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  <c r="K1617" t="str">
        <f>TEXT(Table1[[#This Row],[PurchaseDate]],"mmm")</f>
        <v>May</v>
      </c>
      <c r="L1617">
        <f>YEAR(Table1[[#This Row],[PurchaseDate]])</f>
        <v>2023</v>
      </c>
      <c r="M1617" t="str">
        <f>IF(Table1[[#This Row],[TotalPrice]]&gt;2000,"High Sales","Low Sales")</f>
        <v>Low Sales</v>
      </c>
    </row>
    <row r="1618" spans="1:13" x14ac:dyDescent="0.3">
      <c r="A1618" t="s">
        <v>1496</v>
      </c>
      <c r="B1618" t="s">
        <v>1658</v>
      </c>
      <c r="C1618" s="1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  <c r="K1618" t="str">
        <f>TEXT(Table1[[#This Row],[PurchaseDate]],"mmm")</f>
        <v>Apr</v>
      </c>
      <c r="L1618">
        <f>YEAR(Table1[[#This Row],[PurchaseDate]])</f>
        <v>2023</v>
      </c>
      <c r="M1618" t="str">
        <f>IF(Table1[[#This Row],[TotalPrice]]&gt;2000,"High Sales","Low Sales")</f>
        <v>High Sales</v>
      </c>
    </row>
    <row r="1619" spans="1:13" x14ac:dyDescent="0.3">
      <c r="A1619" t="s">
        <v>1497</v>
      </c>
      <c r="B1619" t="s">
        <v>1657</v>
      </c>
      <c r="C1619" s="1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  <c r="K1619" t="str">
        <f>TEXT(Table1[[#This Row],[PurchaseDate]],"mmm")</f>
        <v>Nov</v>
      </c>
      <c r="L1619">
        <f>YEAR(Table1[[#This Row],[PurchaseDate]])</f>
        <v>2023</v>
      </c>
      <c r="M1619" t="str">
        <f>IF(Table1[[#This Row],[TotalPrice]]&gt;2000,"High Sales","Low Sales")</f>
        <v>High Sales</v>
      </c>
    </row>
    <row r="1620" spans="1:13" x14ac:dyDescent="0.3">
      <c r="A1620" t="s">
        <v>1498</v>
      </c>
      <c r="B1620" t="s">
        <v>1654</v>
      </c>
      <c r="C1620" s="1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  <c r="K1620" t="str">
        <f>TEXT(Table1[[#This Row],[PurchaseDate]],"mmm")</f>
        <v>Apr</v>
      </c>
      <c r="L1620">
        <f>YEAR(Table1[[#This Row],[PurchaseDate]])</f>
        <v>2024</v>
      </c>
      <c r="M1620" t="str">
        <f>IF(Table1[[#This Row],[TotalPrice]]&gt;2000,"High Sales","Low Sales")</f>
        <v>Low Sales</v>
      </c>
    </row>
    <row r="1621" spans="1:13" x14ac:dyDescent="0.3">
      <c r="A1621" t="s">
        <v>1499</v>
      </c>
      <c r="B1621" t="s">
        <v>1652</v>
      </c>
      <c r="C1621" s="1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  <c r="K1621" t="str">
        <f>TEXT(Table1[[#This Row],[PurchaseDate]],"mmm")</f>
        <v>Jun</v>
      </c>
      <c r="L1621">
        <f>YEAR(Table1[[#This Row],[PurchaseDate]])</f>
        <v>2024</v>
      </c>
      <c r="M1621" t="str">
        <f>IF(Table1[[#This Row],[TotalPrice]]&gt;2000,"High Sales","Low Sales")</f>
        <v>Low Sales</v>
      </c>
    </row>
    <row r="1622" spans="1:13" x14ac:dyDescent="0.3">
      <c r="A1622" t="s">
        <v>1500</v>
      </c>
      <c r="B1622" t="s">
        <v>1653</v>
      </c>
      <c r="C1622" s="1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  <c r="K1622" t="str">
        <f>TEXT(Table1[[#This Row],[PurchaseDate]],"mmm")</f>
        <v>Jan</v>
      </c>
      <c r="L1622">
        <f>YEAR(Table1[[#This Row],[PurchaseDate]])</f>
        <v>2023</v>
      </c>
      <c r="M1622" t="str">
        <f>IF(Table1[[#This Row],[TotalPrice]]&gt;2000,"High Sales","Low Sales")</f>
        <v>Low Sales</v>
      </c>
    </row>
    <row r="1623" spans="1:13" x14ac:dyDescent="0.3">
      <c r="A1623" t="s">
        <v>1501</v>
      </c>
      <c r="B1623" t="s">
        <v>1652</v>
      </c>
      <c r="C1623" s="1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  <c r="K1623" t="str">
        <f>TEXT(Table1[[#This Row],[PurchaseDate]],"mmm")</f>
        <v>Apr</v>
      </c>
      <c r="L1623">
        <f>YEAR(Table1[[#This Row],[PurchaseDate]])</f>
        <v>2023</v>
      </c>
      <c r="M1623" t="str">
        <f>IF(Table1[[#This Row],[TotalPrice]]&gt;2000,"High Sales","Low Sales")</f>
        <v>Low Sales</v>
      </c>
    </row>
    <row r="1624" spans="1:13" x14ac:dyDescent="0.3">
      <c r="A1624" t="s">
        <v>1502</v>
      </c>
      <c r="B1624" t="s">
        <v>1655</v>
      </c>
      <c r="C1624" s="1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  <c r="K1624" t="str">
        <f>TEXT(Table1[[#This Row],[PurchaseDate]],"mmm")</f>
        <v>Mar</v>
      </c>
      <c r="L1624">
        <f>YEAR(Table1[[#This Row],[PurchaseDate]])</f>
        <v>2024</v>
      </c>
      <c r="M1624" t="str">
        <f>IF(Table1[[#This Row],[TotalPrice]]&gt;2000,"High Sales","Low Sales")</f>
        <v>High Sales</v>
      </c>
    </row>
    <row r="1625" spans="1:13" x14ac:dyDescent="0.3">
      <c r="A1625" t="s">
        <v>1503</v>
      </c>
      <c r="B1625" t="s">
        <v>1658</v>
      </c>
      <c r="C1625" s="1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  <c r="K1625" t="str">
        <f>TEXT(Table1[[#This Row],[PurchaseDate]],"mmm")</f>
        <v>Jul</v>
      </c>
      <c r="L1625">
        <f>YEAR(Table1[[#This Row],[PurchaseDate]])</f>
        <v>2023</v>
      </c>
      <c r="M1625" t="str">
        <f>IF(Table1[[#This Row],[TotalPrice]]&gt;2000,"High Sales","Low Sales")</f>
        <v>High Sales</v>
      </c>
    </row>
    <row r="1626" spans="1:13" x14ac:dyDescent="0.3">
      <c r="A1626" t="s">
        <v>1504</v>
      </c>
      <c r="B1626" t="s">
        <v>1654</v>
      </c>
      <c r="C1626" s="1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  <c r="K1626" t="str">
        <f>TEXT(Table1[[#This Row],[PurchaseDate]],"mmm")</f>
        <v>Mar</v>
      </c>
      <c r="L1626">
        <f>YEAR(Table1[[#This Row],[PurchaseDate]])</f>
        <v>2025</v>
      </c>
      <c r="M1626" t="str">
        <f>IF(Table1[[#This Row],[TotalPrice]]&gt;2000,"High Sales","Low Sales")</f>
        <v>Low Sales</v>
      </c>
    </row>
    <row r="1627" spans="1:13" x14ac:dyDescent="0.3">
      <c r="A1627" t="s">
        <v>1505</v>
      </c>
      <c r="B1627" t="s">
        <v>1652</v>
      </c>
      <c r="C1627" s="1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  <c r="K1627" t="str">
        <f>TEXT(Table1[[#This Row],[PurchaseDate]],"mmm")</f>
        <v>Jun</v>
      </c>
      <c r="L1627">
        <f>YEAR(Table1[[#This Row],[PurchaseDate]])</f>
        <v>2023</v>
      </c>
      <c r="M1627" t="str">
        <f>IF(Table1[[#This Row],[TotalPrice]]&gt;2000,"High Sales","Low Sales")</f>
        <v>Low Sales</v>
      </c>
    </row>
    <row r="1628" spans="1:13" x14ac:dyDescent="0.3">
      <c r="A1628" t="s">
        <v>1506</v>
      </c>
      <c r="B1628" t="s">
        <v>1656</v>
      </c>
      <c r="C1628" s="1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  <c r="K1628" t="str">
        <f>TEXT(Table1[[#This Row],[PurchaseDate]],"mmm")</f>
        <v>May</v>
      </c>
      <c r="L1628">
        <f>YEAR(Table1[[#This Row],[PurchaseDate]])</f>
        <v>2024</v>
      </c>
      <c r="M1628" t="str">
        <f>IF(Table1[[#This Row],[TotalPrice]]&gt;2000,"High Sales","Low Sales")</f>
        <v>Low Sales</v>
      </c>
    </row>
    <row r="1629" spans="1:13" x14ac:dyDescent="0.3">
      <c r="A1629" t="s">
        <v>1507</v>
      </c>
      <c r="B1629" t="s">
        <v>1656</v>
      </c>
      <c r="C1629" s="1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  <c r="K1629" t="str">
        <f>TEXT(Table1[[#This Row],[PurchaseDate]],"mmm")</f>
        <v>Nov</v>
      </c>
      <c r="L1629">
        <f>YEAR(Table1[[#This Row],[PurchaseDate]])</f>
        <v>2023</v>
      </c>
      <c r="M1629" t="str">
        <f>IF(Table1[[#This Row],[TotalPrice]]&gt;2000,"High Sales","Low Sales")</f>
        <v>High Sales</v>
      </c>
    </row>
    <row r="1630" spans="1:13" x14ac:dyDescent="0.3">
      <c r="A1630" t="s">
        <v>1508</v>
      </c>
      <c r="B1630" t="s">
        <v>1655</v>
      </c>
      <c r="C1630" s="1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  <c r="K1630" t="str">
        <f>TEXT(Table1[[#This Row],[PurchaseDate]],"mmm")</f>
        <v>Feb</v>
      </c>
      <c r="L1630">
        <f>YEAR(Table1[[#This Row],[PurchaseDate]])</f>
        <v>2024</v>
      </c>
      <c r="M1630" t="str">
        <f>IF(Table1[[#This Row],[TotalPrice]]&gt;2000,"High Sales","Low Sales")</f>
        <v>Low Sales</v>
      </c>
    </row>
    <row r="1631" spans="1:13" x14ac:dyDescent="0.3">
      <c r="A1631" t="s">
        <v>1509</v>
      </c>
      <c r="B1631" t="s">
        <v>1654</v>
      </c>
      <c r="C1631" s="1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  <c r="K1631" t="str">
        <f>TEXT(Table1[[#This Row],[PurchaseDate]],"mmm")</f>
        <v>Nov</v>
      </c>
      <c r="L1631">
        <f>YEAR(Table1[[#This Row],[PurchaseDate]])</f>
        <v>2023</v>
      </c>
      <c r="M1631" t="str">
        <f>IF(Table1[[#This Row],[TotalPrice]]&gt;2000,"High Sales","Low Sales")</f>
        <v>High Sales</v>
      </c>
    </row>
    <row r="1632" spans="1:13" x14ac:dyDescent="0.3">
      <c r="A1632" t="s">
        <v>1510</v>
      </c>
      <c r="B1632" t="s">
        <v>1654</v>
      </c>
      <c r="C1632" s="1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  <c r="K1632" t="str">
        <f>TEXT(Table1[[#This Row],[PurchaseDate]],"mmm")</f>
        <v>Mar</v>
      </c>
      <c r="L1632">
        <f>YEAR(Table1[[#This Row],[PurchaseDate]])</f>
        <v>2024</v>
      </c>
      <c r="M1632" t="str">
        <f>IF(Table1[[#This Row],[TotalPrice]]&gt;2000,"High Sales","Low Sales")</f>
        <v>High Sales</v>
      </c>
    </row>
    <row r="1633" spans="1:13" x14ac:dyDescent="0.3">
      <c r="A1633" t="s">
        <v>1511</v>
      </c>
      <c r="B1633" t="s">
        <v>1657</v>
      </c>
      <c r="C1633" s="1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  <c r="K1633" t="str">
        <f>TEXT(Table1[[#This Row],[PurchaseDate]],"mmm")</f>
        <v>Apr</v>
      </c>
      <c r="L1633">
        <f>YEAR(Table1[[#This Row],[PurchaseDate]])</f>
        <v>2023</v>
      </c>
      <c r="M1633" t="str">
        <f>IF(Table1[[#This Row],[TotalPrice]]&gt;2000,"High Sales","Low Sales")</f>
        <v>Low Sales</v>
      </c>
    </row>
    <row r="1634" spans="1:13" x14ac:dyDescent="0.3">
      <c r="A1634" t="s">
        <v>1512</v>
      </c>
      <c r="B1634" t="s">
        <v>1654</v>
      </c>
      <c r="C1634" s="1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  <c r="K1634" t="str">
        <f>TEXT(Table1[[#This Row],[PurchaseDate]],"mmm")</f>
        <v>Jun</v>
      </c>
      <c r="L1634">
        <f>YEAR(Table1[[#This Row],[PurchaseDate]])</f>
        <v>2023</v>
      </c>
      <c r="M1634" t="str">
        <f>IF(Table1[[#This Row],[TotalPrice]]&gt;2000,"High Sales","Low Sales")</f>
        <v>High Sales</v>
      </c>
    </row>
    <row r="1635" spans="1:13" x14ac:dyDescent="0.3">
      <c r="A1635" t="s">
        <v>1513</v>
      </c>
      <c r="B1635" t="s">
        <v>1654</v>
      </c>
      <c r="C1635" s="1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  <c r="K1635" t="str">
        <f>TEXT(Table1[[#This Row],[PurchaseDate]],"mmm")</f>
        <v>May</v>
      </c>
      <c r="L1635">
        <f>YEAR(Table1[[#This Row],[PurchaseDate]])</f>
        <v>2023</v>
      </c>
      <c r="M1635" t="str">
        <f>IF(Table1[[#This Row],[TotalPrice]]&gt;2000,"High Sales","Low Sales")</f>
        <v>High Sales</v>
      </c>
    </row>
    <row r="1636" spans="1:13" x14ac:dyDescent="0.3">
      <c r="A1636" t="s">
        <v>1514</v>
      </c>
      <c r="B1636" t="s">
        <v>1655</v>
      </c>
      <c r="C1636" s="1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  <c r="K1636" t="str">
        <f>TEXT(Table1[[#This Row],[PurchaseDate]],"mmm")</f>
        <v>Mar</v>
      </c>
      <c r="L1636">
        <f>YEAR(Table1[[#This Row],[PurchaseDate]])</f>
        <v>2025</v>
      </c>
      <c r="M1636" t="str">
        <f>IF(Table1[[#This Row],[TotalPrice]]&gt;2000,"High Sales","Low Sales")</f>
        <v>High Sales</v>
      </c>
    </row>
    <row r="1637" spans="1:13" x14ac:dyDescent="0.3">
      <c r="A1637" t="s">
        <v>1117</v>
      </c>
      <c r="B1637" t="s">
        <v>1658</v>
      </c>
      <c r="C1637" s="1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  <c r="K1637" t="str">
        <f>TEXT(Table1[[#This Row],[PurchaseDate]],"mmm")</f>
        <v>Feb</v>
      </c>
      <c r="L1637">
        <f>YEAR(Table1[[#This Row],[PurchaseDate]])</f>
        <v>2024</v>
      </c>
      <c r="M1637" t="str">
        <f>IF(Table1[[#This Row],[TotalPrice]]&gt;2000,"High Sales","Low Sales")</f>
        <v>Low Sales</v>
      </c>
    </row>
    <row r="1638" spans="1:13" x14ac:dyDescent="0.3">
      <c r="A1638" t="s">
        <v>1515</v>
      </c>
      <c r="B1638" t="s">
        <v>1653</v>
      </c>
      <c r="C1638" s="1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  <c r="K1638" t="str">
        <f>TEXT(Table1[[#This Row],[PurchaseDate]],"mmm")</f>
        <v>May</v>
      </c>
      <c r="L1638">
        <f>YEAR(Table1[[#This Row],[PurchaseDate]])</f>
        <v>2024</v>
      </c>
      <c r="M1638" t="str">
        <f>IF(Table1[[#This Row],[TotalPrice]]&gt;2000,"High Sales","Low Sales")</f>
        <v>High Sales</v>
      </c>
    </row>
    <row r="1639" spans="1:13" x14ac:dyDescent="0.3">
      <c r="A1639" t="s">
        <v>1516</v>
      </c>
      <c r="B1639" t="s">
        <v>1653</v>
      </c>
      <c r="C1639" s="1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  <c r="K1639" t="str">
        <f>TEXT(Table1[[#This Row],[PurchaseDate]],"mmm")</f>
        <v>Aug</v>
      </c>
      <c r="L1639">
        <f>YEAR(Table1[[#This Row],[PurchaseDate]])</f>
        <v>2024</v>
      </c>
      <c r="M1639" t="str">
        <f>IF(Table1[[#This Row],[TotalPrice]]&gt;2000,"High Sales","Low Sales")</f>
        <v>Low Sales</v>
      </c>
    </row>
    <row r="1640" spans="1:13" x14ac:dyDescent="0.3">
      <c r="A1640" t="s">
        <v>1517</v>
      </c>
      <c r="B1640" t="s">
        <v>1658</v>
      </c>
      <c r="C1640" s="1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  <c r="K1640" t="str">
        <f>TEXT(Table1[[#This Row],[PurchaseDate]],"mmm")</f>
        <v>Sep</v>
      </c>
      <c r="L1640">
        <f>YEAR(Table1[[#This Row],[PurchaseDate]])</f>
        <v>2024</v>
      </c>
      <c r="M1640" t="str">
        <f>IF(Table1[[#This Row],[TotalPrice]]&gt;2000,"High Sales","Low Sales")</f>
        <v>Low Sales</v>
      </c>
    </row>
    <row r="1641" spans="1:13" x14ac:dyDescent="0.3">
      <c r="A1641" t="s">
        <v>1518</v>
      </c>
      <c r="B1641" t="s">
        <v>1654</v>
      </c>
      <c r="C1641" s="1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  <c r="K1641" t="str">
        <f>TEXT(Table1[[#This Row],[PurchaseDate]],"mmm")</f>
        <v>May</v>
      </c>
      <c r="L1641">
        <f>YEAR(Table1[[#This Row],[PurchaseDate]])</f>
        <v>2025</v>
      </c>
      <c r="M1641" t="str">
        <f>IF(Table1[[#This Row],[TotalPrice]]&gt;2000,"High Sales","Low Sales")</f>
        <v>High Sales</v>
      </c>
    </row>
    <row r="1642" spans="1:13" x14ac:dyDescent="0.3">
      <c r="A1642" t="s">
        <v>1064</v>
      </c>
      <c r="B1642" t="s">
        <v>1654</v>
      </c>
      <c r="C1642" s="1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  <c r="K1642" t="str">
        <f>TEXT(Table1[[#This Row],[PurchaseDate]],"mmm")</f>
        <v>Jan</v>
      </c>
      <c r="L1642">
        <f>YEAR(Table1[[#This Row],[PurchaseDate]])</f>
        <v>2023</v>
      </c>
      <c r="M1642" t="str">
        <f>IF(Table1[[#This Row],[TotalPrice]]&gt;2000,"High Sales","Low Sales")</f>
        <v>High Sales</v>
      </c>
    </row>
    <row r="1643" spans="1:13" x14ac:dyDescent="0.3">
      <c r="A1643" t="s">
        <v>840</v>
      </c>
      <c r="B1643" t="s">
        <v>1658</v>
      </c>
      <c r="C1643" s="1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  <c r="K1643" t="str">
        <f>TEXT(Table1[[#This Row],[PurchaseDate]],"mmm")</f>
        <v>Aug</v>
      </c>
      <c r="L1643">
        <f>YEAR(Table1[[#This Row],[PurchaseDate]])</f>
        <v>2024</v>
      </c>
      <c r="M1643" t="str">
        <f>IF(Table1[[#This Row],[TotalPrice]]&gt;2000,"High Sales","Low Sales")</f>
        <v>Low Sales</v>
      </c>
    </row>
    <row r="1644" spans="1:13" x14ac:dyDescent="0.3">
      <c r="A1644" t="s">
        <v>1519</v>
      </c>
      <c r="B1644" t="s">
        <v>1655</v>
      </c>
      <c r="C1644" s="1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  <c r="K1644" t="str">
        <f>TEXT(Table1[[#This Row],[PurchaseDate]],"mmm")</f>
        <v>Jun</v>
      </c>
      <c r="L1644">
        <f>YEAR(Table1[[#This Row],[PurchaseDate]])</f>
        <v>2025</v>
      </c>
      <c r="M1644" t="str">
        <f>IF(Table1[[#This Row],[TotalPrice]]&gt;2000,"High Sales","Low Sales")</f>
        <v>Low Sales</v>
      </c>
    </row>
    <row r="1645" spans="1:13" x14ac:dyDescent="0.3">
      <c r="A1645" t="s">
        <v>1520</v>
      </c>
      <c r="B1645" t="s">
        <v>1655</v>
      </c>
      <c r="C1645" s="1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  <c r="K1645" t="str">
        <f>TEXT(Table1[[#This Row],[PurchaseDate]],"mmm")</f>
        <v>Dec</v>
      </c>
      <c r="L1645">
        <f>YEAR(Table1[[#This Row],[PurchaseDate]])</f>
        <v>2024</v>
      </c>
      <c r="M1645" t="str">
        <f>IF(Table1[[#This Row],[TotalPrice]]&gt;2000,"High Sales","Low Sales")</f>
        <v>Low Sales</v>
      </c>
    </row>
    <row r="1646" spans="1:13" x14ac:dyDescent="0.3">
      <c r="A1646" t="s">
        <v>1521</v>
      </c>
      <c r="B1646" t="s">
        <v>1655</v>
      </c>
      <c r="C1646" s="1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  <c r="K1646" t="str">
        <f>TEXT(Table1[[#This Row],[PurchaseDate]],"mmm")</f>
        <v>Jan</v>
      </c>
      <c r="L1646">
        <f>YEAR(Table1[[#This Row],[PurchaseDate]])</f>
        <v>2023</v>
      </c>
      <c r="M1646" t="str">
        <f>IF(Table1[[#This Row],[TotalPrice]]&gt;2000,"High Sales","Low Sales")</f>
        <v>High Sales</v>
      </c>
    </row>
    <row r="1647" spans="1:13" x14ac:dyDescent="0.3">
      <c r="A1647" t="s">
        <v>1522</v>
      </c>
      <c r="B1647" t="s">
        <v>1653</v>
      </c>
      <c r="C1647" s="1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  <c r="K1647" t="str">
        <f>TEXT(Table1[[#This Row],[PurchaseDate]],"mmm")</f>
        <v>Nov</v>
      </c>
      <c r="L1647">
        <f>YEAR(Table1[[#This Row],[PurchaseDate]])</f>
        <v>2023</v>
      </c>
      <c r="M1647" t="str">
        <f>IF(Table1[[#This Row],[TotalPrice]]&gt;2000,"High Sales","Low Sales")</f>
        <v>High Sales</v>
      </c>
    </row>
    <row r="1648" spans="1:13" x14ac:dyDescent="0.3">
      <c r="A1648" t="s">
        <v>1523</v>
      </c>
      <c r="B1648" t="s">
        <v>1657</v>
      </c>
      <c r="C1648" s="1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  <c r="K1648" t="str">
        <f>TEXT(Table1[[#This Row],[PurchaseDate]],"mmm")</f>
        <v>Jun</v>
      </c>
      <c r="L1648">
        <f>YEAR(Table1[[#This Row],[PurchaseDate]])</f>
        <v>2025</v>
      </c>
      <c r="M1648" t="str">
        <f>IF(Table1[[#This Row],[TotalPrice]]&gt;2000,"High Sales","Low Sales")</f>
        <v>High Sales</v>
      </c>
    </row>
    <row r="1649" spans="1:13" x14ac:dyDescent="0.3">
      <c r="A1649" t="s">
        <v>1524</v>
      </c>
      <c r="B1649" t="s">
        <v>1656</v>
      </c>
      <c r="C1649" s="1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  <c r="K1649" t="str">
        <f>TEXT(Table1[[#This Row],[PurchaseDate]],"mmm")</f>
        <v>Jan</v>
      </c>
      <c r="L1649">
        <f>YEAR(Table1[[#This Row],[PurchaseDate]])</f>
        <v>2025</v>
      </c>
      <c r="M1649" t="str">
        <f>IF(Table1[[#This Row],[TotalPrice]]&gt;2000,"High Sales","Low Sales")</f>
        <v>High Sales</v>
      </c>
    </row>
    <row r="1650" spans="1:13" x14ac:dyDescent="0.3">
      <c r="A1650" t="s">
        <v>1525</v>
      </c>
      <c r="B1650" t="s">
        <v>1657</v>
      </c>
      <c r="C1650" s="1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  <c r="K1650" t="str">
        <f>TEXT(Table1[[#This Row],[PurchaseDate]],"mmm")</f>
        <v>Apr</v>
      </c>
      <c r="L1650">
        <f>YEAR(Table1[[#This Row],[PurchaseDate]])</f>
        <v>2025</v>
      </c>
      <c r="M1650" t="str">
        <f>IF(Table1[[#This Row],[TotalPrice]]&gt;2000,"High Sales","Low Sales")</f>
        <v>Low Sales</v>
      </c>
    </row>
    <row r="1651" spans="1:13" x14ac:dyDescent="0.3">
      <c r="A1651" t="s">
        <v>1526</v>
      </c>
      <c r="B1651" t="s">
        <v>1656</v>
      </c>
      <c r="C1651" s="1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  <c r="K1651" t="str">
        <f>TEXT(Table1[[#This Row],[PurchaseDate]],"mmm")</f>
        <v>Feb</v>
      </c>
      <c r="L1651">
        <f>YEAR(Table1[[#This Row],[PurchaseDate]])</f>
        <v>2024</v>
      </c>
      <c r="M1651" t="str">
        <f>IF(Table1[[#This Row],[TotalPrice]]&gt;2000,"High Sales","Low Sales")</f>
        <v>High Sales</v>
      </c>
    </row>
    <row r="1652" spans="1:13" x14ac:dyDescent="0.3">
      <c r="A1652" t="s">
        <v>1527</v>
      </c>
      <c r="B1652" t="s">
        <v>1657</v>
      </c>
      <c r="C1652" s="1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  <c r="K1652" t="str">
        <f>TEXT(Table1[[#This Row],[PurchaseDate]],"mmm")</f>
        <v>Oct</v>
      </c>
      <c r="L1652">
        <f>YEAR(Table1[[#This Row],[PurchaseDate]])</f>
        <v>2023</v>
      </c>
      <c r="M1652" t="str">
        <f>IF(Table1[[#This Row],[TotalPrice]]&gt;2000,"High Sales","Low Sales")</f>
        <v>High Sales</v>
      </c>
    </row>
    <row r="1653" spans="1:13" x14ac:dyDescent="0.3">
      <c r="A1653" t="s">
        <v>1528</v>
      </c>
      <c r="B1653" t="s">
        <v>1658</v>
      </c>
      <c r="C1653" s="1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  <c r="K1653" t="str">
        <f>TEXT(Table1[[#This Row],[PurchaseDate]],"mmm")</f>
        <v>Aug</v>
      </c>
      <c r="L1653">
        <f>YEAR(Table1[[#This Row],[PurchaseDate]])</f>
        <v>2023</v>
      </c>
      <c r="M1653" t="str">
        <f>IF(Table1[[#This Row],[TotalPrice]]&gt;2000,"High Sales","Low Sales")</f>
        <v>High Sales</v>
      </c>
    </row>
    <row r="1654" spans="1:13" x14ac:dyDescent="0.3">
      <c r="A1654" t="s">
        <v>1529</v>
      </c>
      <c r="B1654" t="s">
        <v>1653</v>
      </c>
      <c r="C1654" s="1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  <c r="K1654" t="str">
        <f>TEXT(Table1[[#This Row],[PurchaseDate]],"mmm")</f>
        <v>Sep</v>
      </c>
      <c r="L1654">
        <f>YEAR(Table1[[#This Row],[PurchaseDate]])</f>
        <v>2024</v>
      </c>
      <c r="M1654" t="str">
        <f>IF(Table1[[#This Row],[TotalPrice]]&gt;2000,"High Sales","Low Sales")</f>
        <v>High Sales</v>
      </c>
    </row>
    <row r="1655" spans="1:13" x14ac:dyDescent="0.3">
      <c r="A1655" t="s">
        <v>1530</v>
      </c>
      <c r="B1655" t="s">
        <v>1652</v>
      </c>
      <c r="C1655" s="1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  <c r="K1655" t="str">
        <f>TEXT(Table1[[#This Row],[PurchaseDate]],"mmm")</f>
        <v>Mar</v>
      </c>
      <c r="L1655">
        <f>YEAR(Table1[[#This Row],[PurchaseDate]])</f>
        <v>2024</v>
      </c>
      <c r="M1655" t="str">
        <f>IF(Table1[[#This Row],[TotalPrice]]&gt;2000,"High Sales","Low Sales")</f>
        <v>Low Sales</v>
      </c>
    </row>
    <row r="1656" spans="1:13" x14ac:dyDescent="0.3">
      <c r="A1656" t="s">
        <v>1531</v>
      </c>
      <c r="B1656" t="s">
        <v>1655</v>
      </c>
      <c r="C1656" s="1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  <c r="K1656" t="str">
        <f>TEXT(Table1[[#This Row],[PurchaseDate]],"mmm")</f>
        <v>Feb</v>
      </c>
      <c r="L1656">
        <f>YEAR(Table1[[#This Row],[PurchaseDate]])</f>
        <v>2024</v>
      </c>
      <c r="M1656" t="str">
        <f>IF(Table1[[#This Row],[TotalPrice]]&gt;2000,"High Sales","Low Sales")</f>
        <v>High Sales</v>
      </c>
    </row>
    <row r="1657" spans="1:13" x14ac:dyDescent="0.3">
      <c r="A1657" t="s">
        <v>1532</v>
      </c>
      <c r="B1657" t="s">
        <v>1652</v>
      </c>
      <c r="C1657" s="1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  <c r="K1657" t="str">
        <f>TEXT(Table1[[#This Row],[PurchaseDate]],"mmm")</f>
        <v>May</v>
      </c>
      <c r="L1657">
        <f>YEAR(Table1[[#This Row],[PurchaseDate]])</f>
        <v>2025</v>
      </c>
      <c r="M1657" t="str">
        <f>IF(Table1[[#This Row],[TotalPrice]]&gt;2000,"High Sales","Low Sales")</f>
        <v>Low Sales</v>
      </c>
    </row>
    <row r="1658" spans="1:13" x14ac:dyDescent="0.3">
      <c r="A1658" t="s">
        <v>1533</v>
      </c>
      <c r="B1658" t="s">
        <v>1654</v>
      </c>
      <c r="C1658" s="1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  <c r="K1658" t="str">
        <f>TEXT(Table1[[#This Row],[PurchaseDate]],"mmm")</f>
        <v>Apr</v>
      </c>
      <c r="L1658">
        <f>YEAR(Table1[[#This Row],[PurchaseDate]])</f>
        <v>2024</v>
      </c>
      <c r="M1658" t="str">
        <f>IF(Table1[[#This Row],[TotalPrice]]&gt;2000,"High Sales","Low Sales")</f>
        <v>Low Sales</v>
      </c>
    </row>
    <row r="1659" spans="1:13" x14ac:dyDescent="0.3">
      <c r="A1659" t="s">
        <v>1534</v>
      </c>
      <c r="B1659" t="s">
        <v>1658</v>
      </c>
      <c r="C1659" s="1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  <c r="K1659" t="str">
        <f>TEXT(Table1[[#This Row],[PurchaseDate]],"mmm")</f>
        <v>Dec</v>
      </c>
      <c r="L1659">
        <f>YEAR(Table1[[#This Row],[PurchaseDate]])</f>
        <v>2023</v>
      </c>
      <c r="M1659" t="str">
        <f>IF(Table1[[#This Row],[TotalPrice]]&gt;2000,"High Sales","Low Sales")</f>
        <v>High Sales</v>
      </c>
    </row>
    <row r="1660" spans="1:13" x14ac:dyDescent="0.3">
      <c r="A1660" t="s">
        <v>1535</v>
      </c>
      <c r="B1660" t="s">
        <v>1658</v>
      </c>
      <c r="C1660" s="1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  <c r="K1660" t="str">
        <f>TEXT(Table1[[#This Row],[PurchaseDate]],"mmm")</f>
        <v>Dec</v>
      </c>
      <c r="L1660">
        <f>YEAR(Table1[[#This Row],[PurchaseDate]])</f>
        <v>2023</v>
      </c>
      <c r="M1660" t="str">
        <f>IF(Table1[[#This Row],[TotalPrice]]&gt;2000,"High Sales","Low Sales")</f>
        <v>Low Sales</v>
      </c>
    </row>
    <row r="1661" spans="1:13" x14ac:dyDescent="0.3">
      <c r="A1661" t="s">
        <v>774</v>
      </c>
      <c r="B1661" t="s">
        <v>1653</v>
      </c>
      <c r="C1661" s="1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  <c r="K1661" t="str">
        <f>TEXT(Table1[[#This Row],[PurchaseDate]],"mmm")</f>
        <v>Jul</v>
      </c>
      <c r="L1661">
        <f>YEAR(Table1[[#This Row],[PurchaseDate]])</f>
        <v>2023</v>
      </c>
      <c r="M1661" t="str">
        <f>IF(Table1[[#This Row],[TotalPrice]]&gt;2000,"High Sales","Low Sales")</f>
        <v>Low Sales</v>
      </c>
    </row>
    <row r="1662" spans="1:13" x14ac:dyDescent="0.3">
      <c r="A1662" t="s">
        <v>1536</v>
      </c>
      <c r="B1662" t="s">
        <v>1655</v>
      </c>
      <c r="C1662" s="1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  <c r="K1662" t="str">
        <f>TEXT(Table1[[#This Row],[PurchaseDate]],"mmm")</f>
        <v>Jan</v>
      </c>
      <c r="L1662">
        <f>YEAR(Table1[[#This Row],[PurchaseDate]])</f>
        <v>2023</v>
      </c>
      <c r="M1662" t="str">
        <f>IF(Table1[[#This Row],[TotalPrice]]&gt;2000,"High Sales","Low Sales")</f>
        <v>High Sales</v>
      </c>
    </row>
    <row r="1663" spans="1:13" x14ac:dyDescent="0.3">
      <c r="A1663" t="s">
        <v>1537</v>
      </c>
      <c r="B1663" t="s">
        <v>1657</v>
      </c>
      <c r="C1663" s="1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  <c r="K1663" t="str">
        <f>TEXT(Table1[[#This Row],[PurchaseDate]],"mmm")</f>
        <v>Jun</v>
      </c>
      <c r="L1663">
        <f>YEAR(Table1[[#This Row],[PurchaseDate]])</f>
        <v>2024</v>
      </c>
      <c r="M1663" t="str">
        <f>IF(Table1[[#This Row],[TotalPrice]]&gt;2000,"High Sales","Low Sales")</f>
        <v>High Sales</v>
      </c>
    </row>
    <row r="1664" spans="1:13" x14ac:dyDescent="0.3">
      <c r="A1664" t="s">
        <v>1538</v>
      </c>
      <c r="B1664" t="s">
        <v>1656</v>
      </c>
      <c r="C1664" s="1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  <c r="K1664" t="str">
        <f>TEXT(Table1[[#This Row],[PurchaseDate]],"mmm")</f>
        <v>Jan</v>
      </c>
      <c r="L1664">
        <f>YEAR(Table1[[#This Row],[PurchaseDate]])</f>
        <v>2024</v>
      </c>
      <c r="M1664" t="str">
        <f>IF(Table1[[#This Row],[TotalPrice]]&gt;2000,"High Sales","Low Sales")</f>
        <v>High Sales</v>
      </c>
    </row>
    <row r="1665" spans="1:13" x14ac:dyDescent="0.3">
      <c r="A1665" t="s">
        <v>1410</v>
      </c>
      <c r="B1665" t="s">
        <v>1654</v>
      </c>
      <c r="C1665" s="1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  <c r="K1665" t="str">
        <f>TEXT(Table1[[#This Row],[PurchaseDate]],"mmm")</f>
        <v>Jun</v>
      </c>
      <c r="L1665">
        <f>YEAR(Table1[[#This Row],[PurchaseDate]])</f>
        <v>2025</v>
      </c>
      <c r="M1665" t="str">
        <f>IF(Table1[[#This Row],[TotalPrice]]&gt;2000,"High Sales","Low Sales")</f>
        <v>High Sales</v>
      </c>
    </row>
    <row r="1666" spans="1:13" x14ac:dyDescent="0.3">
      <c r="A1666" t="s">
        <v>1539</v>
      </c>
      <c r="B1666" t="s">
        <v>1658</v>
      </c>
      <c r="C1666" s="1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  <c r="K1666" t="str">
        <f>TEXT(Table1[[#This Row],[PurchaseDate]],"mmm")</f>
        <v>Jan</v>
      </c>
      <c r="L1666">
        <f>YEAR(Table1[[#This Row],[PurchaseDate]])</f>
        <v>2024</v>
      </c>
      <c r="M1666" t="str">
        <f>IF(Table1[[#This Row],[TotalPrice]]&gt;2000,"High Sales","Low Sales")</f>
        <v>High Sales</v>
      </c>
    </row>
    <row r="1667" spans="1:13" x14ac:dyDescent="0.3">
      <c r="A1667" t="s">
        <v>1540</v>
      </c>
      <c r="B1667" t="s">
        <v>1654</v>
      </c>
      <c r="C1667" s="1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  <c r="K1667" t="str">
        <f>TEXT(Table1[[#This Row],[PurchaseDate]],"mmm")</f>
        <v>Jan</v>
      </c>
      <c r="L1667">
        <f>YEAR(Table1[[#This Row],[PurchaseDate]])</f>
        <v>2024</v>
      </c>
      <c r="M1667" t="str">
        <f>IF(Table1[[#This Row],[TotalPrice]]&gt;2000,"High Sales","Low Sales")</f>
        <v>Low Sales</v>
      </c>
    </row>
    <row r="1668" spans="1:13" x14ac:dyDescent="0.3">
      <c r="A1668" t="s">
        <v>1541</v>
      </c>
      <c r="B1668" t="s">
        <v>1653</v>
      </c>
      <c r="C1668" s="1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  <c r="K1668" t="str">
        <f>TEXT(Table1[[#This Row],[PurchaseDate]],"mmm")</f>
        <v>Jan</v>
      </c>
      <c r="L1668">
        <f>YEAR(Table1[[#This Row],[PurchaseDate]])</f>
        <v>2023</v>
      </c>
      <c r="M1668" t="str">
        <f>IF(Table1[[#This Row],[TotalPrice]]&gt;2000,"High Sales","Low Sales")</f>
        <v>Low Sales</v>
      </c>
    </row>
    <row r="1669" spans="1:13" x14ac:dyDescent="0.3">
      <c r="A1669" t="s">
        <v>1542</v>
      </c>
      <c r="B1669" t="s">
        <v>1656</v>
      </c>
      <c r="C1669" s="1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  <c r="K1669" t="str">
        <f>TEXT(Table1[[#This Row],[PurchaseDate]],"mmm")</f>
        <v>Oct</v>
      </c>
      <c r="L1669">
        <f>YEAR(Table1[[#This Row],[PurchaseDate]])</f>
        <v>2024</v>
      </c>
      <c r="M1669" t="str">
        <f>IF(Table1[[#This Row],[TotalPrice]]&gt;2000,"High Sales","Low Sales")</f>
        <v>Low Sales</v>
      </c>
    </row>
    <row r="1670" spans="1:13" x14ac:dyDescent="0.3">
      <c r="A1670" t="s">
        <v>1543</v>
      </c>
      <c r="B1670" t="s">
        <v>1657</v>
      </c>
      <c r="C1670" s="1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  <c r="K1670" t="str">
        <f>TEXT(Table1[[#This Row],[PurchaseDate]],"mmm")</f>
        <v>Mar</v>
      </c>
      <c r="L1670">
        <f>YEAR(Table1[[#This Row],[PurchaseDate]])</f>
        <v>2023</v>
      </c>
      <c r="M1670" t="str">
        <f>IF(Table1[[#This Row],[TotalPrice]]&gt;2000,"High Sales","Low Sales")</f>
        <v>Low Sales</v>
      </c>
    </row>
    <row r="1671" spans="1:13" x14ac:dyDescent="0.3">
      <c r="A1671" t="s">
        <v>1544</v>
      </c>
      <c r="B1671" t="s">
        <v>1656</v>
      </c>
      <c r="C1671" s="1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  <c r="K1671" t="str">
        <f>TEXT(Table1[[#This Row],[PurchaseDate]],"mmm")</f>
        <v>Jun</v>
      </c>
      <c r="L1671">
        <f>YEAR(Table1[[#This Row],[PurchaseDate]])</f>
        <v>2023</v>
      </c>
      <c r="M1671" t="str">
        <f>IF(Table1[[#This Row],[TotalPrice]]&gt;2000,"High Sales","Low Sales")</f>
        <v>Low Sales</v>
      </c>
    </row>
    <row r="1672" spans="1:13" x14ac:dyDescent="0.3">
      <c r="A1672" t="s">
        <v>682</v>
      </c>
      <c r="B1672" t="s">
        <v>1657</v>
      </c>
      <c r="C1672" s="1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  <c r="K1672" t="str">
        <f>TEXT(Table1[[#This Row],[PurchaseDate]],"mmm")</f>
        <v>Aug</v>
      </c>
      <c r="L1672">
        <f>YEAR(Table1[[#This Row],[PurchaseDate]])</f>
        <v>2023</v>
      </c>
      <c r="M1672" t="str">
        <f>IF(Table1[[#This Row],[TotalPrice]]&gt;2000,"High Sales","Low Sales")</f>
        <v>Low Sales</v>
      </c>
    </row>
    <row r="1673" spans="1:13" x14ac:dyDescent="0.3">
      <c r="A1673" t="s">
        <v>1545</v>
      </c>
      <c r="B1673" t="s">
        <v>1658</v>
      </c>
      <c r="C1673" s="1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  <c r="K1673" t="str">
        <f>TEXT(Table1[[#This Row],[PurchaseDate]],"mmm")</f>
        <v>Aug</v>
      </c>
      <c r="L1673">
        <f>YEAR(Table1[[#This Row],[PurchaseDate]])</f>
        <v>2023</v>
      </c>
      <c r="M1673" t="str">
        <f>IF(Table1[[#This Row],[TotalPrice]]&gt;2000,"High Sales","Low Sales")</f>
        <v>Low Sales</v>
      </c>
    </row>
    <row r="1674" spans="1:13" x14ac:dyDescent="0.3">
      <c r="A1674" t="s">
        <v>1546</v>
      </c>
      <c r="B1674" t="s">
        <v>1654</v>
      </c>
      <c r="C1674" s="1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  <c r="K1674" t="str">
        <f>TEXT(Table1[[#This Row],[PurchaseDate]],"mmm")</f>
        <v>Jul</v>
      </c>
      <c r="L1674">
        <f>YEAR(Table1[[#This Row],[PurchaseDate]])</f>
        <v>2024</v>
      </c>
      <c r="M1674" t="str">
        <f>IF(Table1[[#This Row],[TotalPrice]]&gt;2000,"High Sales","Low Sales")</f>
        <v>High Sales</v>
      </c>
    </row>
    <row r="1675" spans="1:13" x14ac:dyDescent="0.3">
      <c r="A1675" t="s">
        <v>1547</v>
      </c>
      <c r="B1675" t="s">
        <v>1656</v>
      </c>
      <c r="C1675" s="1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  <c r="K1675" t="str">
        <f>TEXT(Table1[[#This Row],[PurchaseDate]],"mmm")</f>
        <v>May</v>
      </c>
      <c r="L1675">
        <f>YEAR(Table1[[#This Row],[PurchaseDate]])</f>
        <v>2023</v>
      </c>
      <c r="M1675" t="str">
        <f>IF(Table1[[#This Row],[TotalPrice]]&gt;2000,"High Sales","Low Sales")</f>
        <v>High Sales</v>
      </c>
    </row>
    <row r="1676" spans="1:13" x14ac:dyDescent="0.3">
      <c r="A1676" t="s">
        <v>1548</v>
      </c>
      <c r="B1676" t="s">
        <v>1656</v>
      </c>
      <c r="C1676" s="1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  <c r="K1676" t="str">
        <f>TEXT(Table1[[#This Row],[PurchaseDate]],"mmm")</f>
        <v>Dec</v>
      </c>
      <c r="L1676">
        <f>YEAR(Table1[[#This Row],[PurchaseDate]])</f>
        <v>2024</v>
      </c>
      <c r="M1676" t="str">
        <f>IF(Table1[[#This Row],[TotalPrice]]&gt;2000,"High Sales","Low Sales")</f>
        <v>Low Sales</v>
      </c>
    </row>
    <row r="1677" spans="1:13" x14ac:dyDescent="0.3">
      <c r="A1677" t="s">
        <v>1549</v>
      </c>
      <c r="B1677" t="s">
        <v>1656</v>
      </c>
      <c r="C1677" s="1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  <c r="K1677" t="str">
        <f>TEXT(Table1[[#This Row],[PurchaseDate]],"mmm")</f>
        <v>Apr</v>
      </c>
      <c r="L1677">
        <f>YEAR(Table1[[#This Row],[PurchaseDate]])</f>
        <v>2023</v>
      </c>
      <c r="M1677" t="str">
        <f>IF(Table1[[#This Row],[TotalPrice]]&gt;2000,"High Sales","Low Sales")</f>
        <v>Low Sales</v>
      </c>
    </row>
    <row r="1678" spans="1:13" x14ac:dyDescent="0.3">
      <c r="A1678" t="s">
        <v>1550</v>
      </c>
      <c r="B1678" t="s">
        <v>1654</v>
      </c>
      <c r="C1678" s="1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  <c r="K1678" t="str">
        <f>TEXT(Table1[[#This Row],[PurchaseDate]],"mmm")</f>
        <v>Apr</v>
      </c>
      <c r="L1678">
        <f>YEAR(Table1[[#This Row],[PurchaseDate]])</f>
        <v>2025</v>
      </c>
      <c r="M1678" t="str">
        <f>IF(Table1[[#This Row],[TotalPrice]]&gt;2000,"High Sales","Low Sales")</f>
        <v>Low Sales</v>
      </c>
    </row>
    <row r="1679" spans="1:13" x14ac:dyDescent="0.3">
      <c r="A1679" t="s">
        <v>541</v>
      </c>
      <c r="B1679" t="s">
        <v>1654</v>
      </c>
      <c r="C1679" s="1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  <c r="K1679" t="str">
        <f>TEXT(Table1[[#This Row],[PurchaseDate]],"mmm")</f>
        <v>Mar</v>
      </c>
      <c r="L1679">
        <f>YEAR(Table1[[#This Row],[PurchaseDate]])</f>
        <v>2025</v>
      </c>
      <c r="M1679" t="str">
        <f>IF(Table1[[#This Row],[TotalPrice]]&gt;2000,"High Sales","Low Sales")</f>
        <v>Low Sales</v>
      </c>
    </row>
    <row r="1680" spans="1:13" x14ac:dyDescent="0.3">
      <c r="A1680" t="s">
        <v>1551</v>
      </c>
      <c r="B1680" t="s">
        <v>1657</v>
      </c>
      <c r="C1680" s="1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  <c r="K1680" t="str">
        <f>TEXT(Table1[[#This Row],[PurchaseDate]],"mmm")</f>
        <v>Nov</v>
      </c>
      <c r="L1680">
        <f>YEAR(Table1[[#This Row],[PurchaseDate]])</f>
        <v>2024</v>
      </c>
      <c r="M1680" t="str">
        <f>IF(Table1[[#This Row],[TotalPrice]]&gt;2000,"High Sales","Low Sales")</f>
        <v>Low Sales</v>
      </c>
    </row>
    <row r="1681" spans="1:13" x14ac:dyDescent="0.3">
      <c r="A1681" t="s">
        <v>1552</v>
      </c>
      <c r="B1681" t="s">
        <v>1655</v>
      </c>
      <c r="C1681" s="1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  <c r="K1681" t="str">
        <f>TEXT(Table1[[#This Row],[PurchaseDate]],"mmm")</f>
        <v>Apr</v>
      </c>
      <c r="L1681">
        <f>YEAR(Table1[[#This Row],[PurchaseDate]])</f>
        <v>2023</v>
      </c>
      <c r="M1681" t="str">
        <f>IF(Table1[[#This Row],[TotalPrice]]&gt;2000,"High Sales","Low Sales")</f>
        <v>Low Sales</v>
      </c>
    </row>
    <row r="1682" spans="1:13" x14ac:dyDescent="0.3">
      <c r="A1682" t="s">
        <v>1553</v>
      </c>
      <c r="B1682" t="s">
        <v>1653</v>
      </c>
      <c r="C1682" s="1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  <c r="K1682" t="str">
        <f>TEXT(Table1[[#This Row],[PurchaseDate]],"mmm")</f>
        <v>May</v>
      </c>
      <c r="L1682">
        <f>YEAR(Table1[[#This Row],[PurchaseDate]])</f>
        <v>2023</v>
      </c>
      <c r="M1682" t="str">
        <f>IF(Table1[[#This Row],[TotalPrice]]&gt;2000,"High Sales","Low Sales")</f>
        <v>Low Sales</v>
      </c>
    </row>
    <row r="1683" spans="1:13" x14ac:dyDescent="0.3">
      <c r="A1683" t="s">
        <v>1554</v>
      </c>
      <c r="B1683" t="s">
        <v>1654</v>
      </c>
      <c r="C1683" s="1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  <c r="K1683" t="str">
        <f>TEXT(Table1[[#This Row],[PurchaseDate]],"mmm")</f>
        <v>Apr</v>
      </c>
      <c r="L1683">
        <f>YEAR(Table1[[#This Row],[PurchaseDate]])</f>
        <v>2023</v>
      </c>
      <c r="M1683" t="str">
        <f>IF(Table1[[#This Row],[TotalPrice]]&gt;2000,"High Sales","Low Sales")</f>
        <v>Low Sales</v>
      </c>
    </row>
    <row r="1684" spans="1:13" x14ac:dyDescent="0.3">
      <c r="A1684" t="s">
        <v>1555</v>
      </c>
      <c r="B1684" t="s">
        <v>1652</v>
      </c>
      <c r="C1684" s="1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  <c r="K1684" t="str">
        <f>TEXT(Table1[[#This Row],[PurchaseDate]],"mmm")</f>
        <v>Aug</v>
      </c>
      <c r="L1684">
        <f>YEAR(Table1[[#This Row],[PurchaseDate]])</f>
        <v>2023</v>
      </c>
      <c r="M1684" t="str">
        <f>IF(Table1[[#This Row],[TotalPrice]]&gt;2000,"High Sales","Low Sales")</f>
        <v>Low Sales</v>
      </c>
    </row>
    <row r="1685" spans="1:13" x14ac:dyDescent="0.3">
      <c r="A1685" t="s">
        <v>1204</v>
      </c>
      <c r="B1685" t="s">
        <v>1657</v>
      </c>
      <c r="C1685" s="1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  <c r="K1685" t="str">
        <f>TEXT(Table1[[#This Row],[PurchaseDate]],"mmm")</f>
        <v>Aug</v>
      </c>
      <c r="L1685">
        <f>YEAR(Table1[[#This Row],[PurchaseDate]])</f>
        <v>2023</v>
      </c>
      <c r="M1685" t="str">
        <f>IF(Table1[[#This Row],[TotalPrice]]&gt;2000,"High Sales","Low Sales")</f>
        <v>High Sales</v>
      </c>
    </row>
    <row r="1686" spans="1:13" x14ac:dyDescent="0.3">
      <c r="A1686" t="s">
        <v>1556</v>
      </c>
      <c r="B1686" t="s">
        <v>1653</v>
      </c>
      <c r="C1686" s="1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  <c r="K1686" t="str">
        <f>TEXT(Table1[[#This Row],[PurchaseDate]],"mmm")</f>
        <v>Apr</v>
      </c>
      <c r="L1686">
        <f>YEAR(Table1[[#This Row],[PurchaseDate]])</f>
        <v>2024</v>
      </c>
      <c r="M1686" t="str">
        <f>IF(Table1[[#This Row],[TotalPrice]]&gt;2000,"High Sales","Low Sales")</f>
        <v>High Sales</v>
      </c>
    </row>
    <row r="1687" spans="1:13" x14ac:dyDescent="0.3">
      <c r="A1687" t="s">
        <v>1557</v>
      </c>
      <c r="B1687" t="s">
        <v>1652</v>
      </c>
      <c r="C1687" s="1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  <c r="K1687" t="str">
        <f>TEXT(Table1[[#This Row],[PurchaseDate]],"mmm")</f>
        <v>Apr</v>
      </c>
      <c r="L1687">
        <f>YEAR(Table1[[#This Row],[PurchaseDate]])</f>
        <v>2025</v>
      </c>
      <c r="M1687" t="str">
        <f>IF(Table1[[#This Row],[TotalPrice]]&gt;2000,"High Sales","Low Sales")</f>
        <v>High Sales</v>
      </c>
    </row>
    <row r="1688" spans="1:13" x14ac:dyDescent="0.3">
      <c r="A1688" t="s">
        <v>1558</v>
      </c>
      <c r="B1688" t="s">
        <v>1654</v>
      </c>
      <c r="C1688" s="1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  <c r="K1688" t="str">
        <f>TEXT(Table1[[#This Row],[PurchaseDate]],"mmm")</f>
        <v>Jun</v>
      </c>
      <c r="L1688">
        <f>YEAR(Table1[[#This Row],[PurchaseDate]])</f>
        <v>2025</v>
      </c>
      <c r="M1688" t="str">
        <f>IF(Table1[[#This Row],[TotalPrice]]&gt;2000,"High Sales","Low Sales")</f>
        <v>Low Sales</v>
      </c>
    </row>
    <row r="1689" spans="1:13" x14ac:dyDescent="0.3">
      <c r="A1689" t="s">
        <v>1559</v>
      </c>
      <c r="B1689" t="s">
        <v>1653</v>
      </c>
      <c r="C1689" s="1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  <c r="K1689" t="str">
        <f>TEXT(Table1[[#This Row],[PurchaseDate]],"mmm")</f>
        <v>Mar</v>
      </c>
      <c r="L1689">
        <f>YEAR(Table1[[#This Row],[PurchaseDate]])</f>
        <v>2023</v>
      </c>
      <c r="M1689" t="str">
        <f>IF(Table1[[#This Row],[TotalPrice]]&gt;2000,"High Sales","Low Sales")</f>
        <v>Low Sales</v>
      </c>
    </row>
    <row r="1690" spans="1:13" x14ac:dyDescent="0.3">
      <c r="A1690" t="s">
        <v>1560</v>
      </c>
      <c r="B1690" t="s">
        <v>1658</v>
      </c>
      <c r="C1690" s="1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  <c r="K1690" t="str">
        <f>TEXT(Table1[[#This Row],[PurchaseDate]],"mmm")</f>
        <v>Aug</v>
      </c>
      <c r="L1690">
        <f>YEAR(Table1[[#This Row],[PurchaseDate]])</f>
        <v>2024</v>
      </c>
      <c r="M1690" t="str">
        <f>IF(Table1[[#This Row],[TotalPrice]]&gt;2000,"High Sales","Low Sales")</f>
        <v>Low Sales</v>
      </c>
    </row>
    <row r="1691" spans="1:13" x14ac:dyDescent="0.3">
      <c r="A1691" t="s">
        <v>201</v>
      </c>
      <c r="B1691" t="s">
        <v>1652</v>
      </c>
      <c r="C1691" s="1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  <c r="K1691" t="str">
        <f>TEXT(Table1[[#This Row],[PurchaseDate]],"mmm")</f>
        <v>Aug</v>
      </c>
      <c r="L1691">
        <f>YEAR(Table1[[#This Row],[PurchaseDate]])</f>
        <v>2024</v>
      </c>
      <c r="M1691" t="str">
        <f>IF(Table1[[#This Row],[TotalPrice]]&gt;2000,"High Sales","Low Sales")</f>
        <v>Low Sales</v>
      </c>
    </row>
    <row r="1692" spans="1:13" x14ac:dyDescent="0.3">
      <c r="A1692" t="s">
        <v>1561</v>
      </c>
      <c r="B1692" t="s">
        <v>1652</v>
      </c>
      <c r="C1692" s="1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  <c r="K1692" t="str">
        <f>TEXT(Table1[[#This Row],[PurchaseDate]],"mmm")</f>
        <v>Jul</v>
      </c>
      <c r="L1692">
        <f>YEAR(Table1[[#This Row],[PurchaseDate]])</f>
        <v>2023</v>
      </c>
      <c r="M1692" t="str">
        <f>IF(Table1[[#This Row],[TotalPrice]]&gt;2000,"High Sales","Low Sales")</f>
        <v>High Sales</v>
      </c>
    </row>
    <row r="1693" spans="1:13" x14ac:dyDescent="0.3">
      <c r="A1693" t="s">
        <v>384</v>
      </c>
      <c r="B1693" t="s">
        <v>1652</v>
      </c>
      <c r="C1693" s="1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  <c r="K1693" t="str">
        <f>TEXT(Table1[[#This Row],[PurchaseDate]],"mmm")</f>
        <v>Jan</v>
      </c>
      <c r="L1693">
        <f>YEAR(Table1[[#This Row],[PurchaseDate]])</f>
        <v>2025</v>
      </c>
      <c r="M1693" t="str">
        <f>IF(Table1[[#This Row],[TotalPrice]]&gt;2000,"High Sales","Low Sales")</f>
        <v>Low Sales</v>
      </c>
    </row>
    <row r="1694" spans="1:13" x14ac:dyDescent="0.3">
      <c r="A1694" t="s">
        <v>1562</v>
      </c>
      <c r="B1694" t="s">
        <v>1658</v>
      </c>
      <c r="C1694" s="1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  <c r="K1694" t="str">
        <f>TEXT(Table1[[#This Row],[PurchaseDate]],"mmm")</f>
        <v>Dec</v>
      </c>
      <c r="L1694">
        <f>YEAR(Table1[[#This Row],[PurchaseDate]])</f>
        <v>2024</v>
      </c>
      <c r="M1694" t="str">
        <f>IF(Table1[[#This Row],[TotalPrice]]&gt;2000,"High Sales","Low Sales")</f>
        <v>Low Sales</v>
      </c>
    </row>
    <row r="1695" spans="1:13" x14ac:dyDescent="0.3">
      <c r="A1695" t="s">
        <v>1563</v>
      </c>
      <c r="B1695" t="s">
        <v>1654</v>
      </c>
      <c r="C1695" s="1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  <c r="K1695" t="str">
        <f>TEXT(Table1[[#This Row],[PurchaseDate]],"mmm")</f>
        <v>Jan</v>
      </c>
      <c r="L1695">
        <f>YEAR(Table1[[#This Row],[PurchaseDate]])</f>
        <v>2024</v>
      </c>
      <c r="M1695" t="str">
        <f>IF(Table1[[#This Row],[TotalPrice]]&gt;2000,"High Sales","Low Sales")</f>
        <v>Low Sales</v>
      </c>
    </row>
    <row r="1696" spans="1:13" x14ac:dyDescent="0.3">
      <c r="A1696" t="s">
        <v>1564</v>
      </c>
      <c r="B1696" t="s">
        <v>1658</v>
      </c>
      <c r="C1696" s="1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  <c r="K1696" t="str">
        <f>TEXT(Table1[[#This Row],[PurchaseDate]],"mmm")</f>
        <v>Aug</v>
      </c>
      <c r="L1696">
        <f>YEAR(Table1[[#This Row],[PurchaseDate]])</f>
        <v>2024</v>
      </c>
      <c r="M1696" t="str">
        <f>IF(Table1[[#This Row],[TotalPrice]]&gt;2000,"High Sales","Low Sales")</f>
        <v>High Sales</v>
      </c>
    </row>
    <row r="1697" spans="1:13" x14ac:dyDescent="0.3">
      <c r="A1697" t="s">
        <v>1565</v>
      </c>
      <c r="B1697" t="s">
        <v>1653</v>
      </c>
      <c r="C1697" s="1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  <c r="K1697" t="str">
        <f>TEXT(Table1[[#This Row],[PurchaseDate]],"mmm")</f>
        <v>Oct</v>
      </c>
      <c r="L1697">
        <f>YEAR(Table1[[#This Row],[PurchaseDate]])</f>
        <v>2023</v>
      </c>
      <c r="M1697" t="str">
        <f>IF(Table1[[#This Row],[TotalPrice]]&gt;2000,"High Sales","Low Sales")</f>
        <v>Low Sales</v>
      </c>
    </row>
    <row r="1698" spans="1:13" x14ac:dyDescent="0.3">
      <c r="A1698" t="s">
        <v>1566</v>
      </c>
      <c r="B1698" t="s">
        <v>1658</v>
      </c>
      <c r="C1698" s="1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  <c r="K1698" t="str">
        <f>TEXT(Table1[[#This Row],[PurchaseDate]],"mmm")</f>
        <v>Jun</v>
      </c>
      <c r="L1698">
        <f>YEAR(Table1[[#This Row],[PurchaseDate]])</f>
        <v>2023</v>
      </c>
      <c r="M1698" t="str">
        <f>IF(Table1[[#This Row],[TotalPrice]]&gt;2000,"High Sales","Low Sales")</f>
        <v>High Sales</v>
      </c>
    </row>
    <row r="1699" spans="1:13" x14ac:dyDescent="0.3">
      <c r="A1699" t="s">
        <v>1567</v>
      </c>
      <c r="B1699" t="s">
        <v>1654</v>
      </c>
      <c r="C1699" s="1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  <c r="K1699" t="str">
        <f>TEXT(Table1[[#This Row],[PurchaseDate]],"mmm")</f>
        <v>Apr</v>
      </c>
      <c r="L1699">
        <f>YEAR(Table1[[#This Row],[PurchaseDate]])</f>
        <v>2023</v>
      </c>
      <c r="M1699" t="str">
        <f>IF(Table1[[#This Row],[TotalPrice]]&gt;2000,"High Sales","Low Sales")</f>
        <v>Low Sales</v>
      </c>
    </row>
    <row r="1700" spans="1:13" x14ac:dyDescent="0.3">
      <c r="A1700" t="s">
        <v>1568</v>
      </c>
      <c r="B1700" t="s">
        <v>1658</v>
      </c>
      <c r="C1700" s="1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  <c r="K1700" t="str">
        <f>TEXT(Table1[[#This Row],[PurchaseDate]],"mmm")</f>
        <v>Jun</v>
      </c>
      <c r="L1700">
        <f>YEAR(Table1[[#This Row],[PurchaseDate]])</f>
        <v>2025</v>
      </c>
      <c r="M1700" t="str">
        <f>IF(Table1[[#This Row],[TotalPrice]]&gt;2000,"High Sales","Low Sales")</f>
        <v>High Sales</v>
      </c>
    </row>
    <row r="1701" spans="1:13" x14ac:dyDescent="0.3">
      <c r="A1701" t="s">
        <v>1569</v>
      </c>
      <c r="B1701" t="s">
        <v>1654</v>
      </c>
      <c r="C1701" s="1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  <c r="K1701" t="str">
        <f>TEXT(Table1[[#This Row],[PurchaseDate]],"mmm")</f>
        <v>Jul</v>
      </c>
      <c r="L1701">
        <f>YEAR(Table1[[#This Row],[PurchaseDate]])</f>
        <v>2023</v>
      </c>
      <c r="M1701" t="str">
        <f>IF(Table1[[#This Row],[TotalPrice]]&gt;2000,"High Sales","Low Sales")</f>
        <v>High Sales</v>
      </c>
    </row>
    <row r="1702" spans="1:13" x14ac:dyDescent="0.3">
      <c r="A1702" t="s">
        <v>1570</v>
      </c>
      <c r="B1702" t="s">
        <v>1657</v>
      </c>
      <c r="C1702" s="1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  <c r="K1702" t="str">
        <f>TEXT(Table1[[#This Row],[PurchaseDate]],"mmm")</f>
        <v>Dec</v>
      </c>
      <c r="L1702">
        <f>YEAR(Table1[[#This Row],[PurchaseDate]])</f>
        <v>2024</v>
      </c>
      <c r="M1702" t="str">
        <f>IF(Table1[[#This Row],[TotalPrice]]&gt;2000,"High Sales","Low Sales")</f>
        <v>High Sales</v>
      </c>
    </row>
    <row r="1703" spans="1:13" x14ac:dyDescent="0.3">
      <c r="A1703" t="s">
        <v>1571</v>
      </c>
      <c r="B1703" t="s">
        <v>1652</v>
      </c>
      <c r="C1703" s="1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  <c r="K1703" t="str">
        <f>TEXT(Table1[[#This Row],[PurchaseDate]],"mmm")</f>
        <v>Mar</v>
      </c>
      <c r="L1703">
        <f>YEAR(Table1[[#This Row],[PurchaseDate]])</f>
        <v>2024</v>
      </c>
      <c r="M1703" t="str">
        <f>IF(Table1[[#This Row],[TotalPrice]]&gt;2000,"High Sales","Low Sales")</f>
        <v>High Sales</v>
      </c>
    </row>
    <row r="1704" spans="1:13" x14ac:dyDescent="0.3">
      <c r="A1704" t="s">
        <v>1572</v>
      </c>
      <c r="B1704" t="s">
        <v>1658</v>
      </c>
      <c r="C1704" s="1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  <c r="K1704" t="str">
        <f>TEXT(Table1[[#This Row],[PurchaseDate]],"mmm")</f>
        <v>Oct</v>
      </c>
      <c r="L1704">
        <f>YEAR(Table1[[#This Row],[PurchaseDate]])</f>
        <v>2024</v>
      </c>
      <c r="M1704" t="str">
        <f>IF(Table1[[#This Row],[TotalPrice]]&gt;2000,"High Sales","Low Sales")</f>
        <v>Low Sales</v>
      </c>
    </row>
    <row r="1705" spans="1:13" x14ac:dyDescent="0.3">
      <c r="A1705" t="s">
        <v>1573</v>
      </c>
      <c r="B1705" t="s">
        <v>1654</v>
      </c>
      <c r="C1705" s="1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  <c r="K1705" t="str">
        <f>TEXT(Table1[[#This Row],[PurchaseDate]],"mmm")</f>
        <v>May</v>
      </c>
      <c r="L1705">
        <f>YEAR(Table1[[#This Row],[PurchaseDate]])</f>
        <v>2024</v>
      </c>
      <c r="M1705" t="str">
        <f>IF(Table1[[#This Row],[TotalPrice]]&gt;2000,"High Sales","Low Sales")</f>
        <v>Low Sales</v>
      </c>
    </row>
    <row r="1706" spans="1:13" x14ac:dyDescent="0.3">
      <c r="A1706" t="s">
        <v>1574</v>
      </c>
      <c r="B1706" t="s">
        <v>1656</v>
      </c>
      <c r="C1706" s="1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  <c r="K1706" t="str">
        <f>TEXT(Table1[[#This Row],[PurchaseDate]],"mmm")</f>
        <v>Sep</v>
      </c>
      <c r="L1706">
        <f>YEAR(Table1[[#This Row],[PurchaseDate]])</f>
        <v>2024</v>
      </c>
      <c r="M1706" t="str">
        <f>IF(Table1[[#This Row],[TotalPrice]]&gt;2000,"High Sales","Low Sales")</f>
        <v>High Sales</v>
      </c>
    </row>
    <row r="1707" spans="1:13" x14ac:dyDescent="0.3">
      <c r="A1707" t="s">
        <v>1575</v>
      </c>
      <c r="B1707" t="s">
        <v>1658</v>
      </c>
      <c r="C1707" s="1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  <c r="K1707" t="str">
        <f>TEXT(Table1[[#This Row],[PurchaseDate]],"mmm")</f>
        <v>Jan</v>
      </c>
      <c r="L1707">
        <f>YEAR(Table1[[#This Row],[PurchaseDate]])</f>
        <v>2023</v>
      </c>
      <c r="M1707" t="str">
        <f>IF(Table1[[#This Row],[TotalPrice]]&gt;2000,"High Sales","Low Sales")</f>
        <v>High Sales</v>
      </c>
    </row>
    <row r="1708" spans="1:13" x14ac:dyDescent="0.3">
      <c r="A1708" t="s">
        <v>1576</v>
      </c>
      <c r="B1708" t="s">
        <v>1657</v>
      </c>
      <c r="C1708" s="1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  <c r="K1708" t="str">
        <f>TEXT(Table1[[#This Row],[PurchaseDate]],"mmm")</f>
        <v>Nov</v>
      </c>
      <c r="L1708">
        <f>YEAR(Table1[[#This Row],[PurchaseDate]])</f>
        <v>2023</v>
      </c>
      <c r="M1708" t="str">
        <f>IF(Table1[[#This Row],[TotalPrice]]&gt;2000,"High Sales","Low Sales")</f>
        <v>High Sales</v>
      </c>
    </row>
    <row r="1709" spans="1:13" x14ac:dyDescent="0.3">
      <c r="A1709" t="s">
        <v>1577</v>
      </c>
      <c r="B1709" t="s">
        <v>1657</v>
      </c>
      <c r="C1709" s="1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  <c r="K1709" t="str">
        <f>TEXT(Table1[[#This Row],[PurchaseDate]],"mmm")</f>
        <v>Jul</v>
      </c>
      <c r="L1709">
        <f>YEAR(Table1[[#This Row],[PurchaseDate]])</f>
        <v>2024</v>
      </c>
      <c r="M1709" t="str">
        <f>IF(Table1[[#This Row],[TotalPrice]]&gt;2000,"High Sales","Low Sales")</f>
        <v>Low Sales</v>
      </c>
    </row>
    <row r="1710" spans="1:13" x14ac:dyDescent="0.3">
      <c r="A1710" t="s">
        <v>1578</v>
      </c>
      <c r="B1710" t="s">
        <v>1657</v>
      </c>
      <c r="C1710" s="1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  <c r="K1710" t="str">
        <f>TEXT(Table1[[#This Row],[PurchaseDate]],"mmm")</f>
        <v>Oct</v>
      </c>
      <c r="L1710">
        <f>YEAR(Table1[[#This Row],[PurchaseDate]])</f>
        <v>2023</v>
      </c>
      <c r="M1710" t="str">
        <f>IF(Table1[[#This Row],[TotalPrice]]&gt;2000,"High Sales","Low Sales")</f>
        <v>Low Sales</v>
      </c>
    </row>
    <row r="1711" spans="1:13" x14ac:dyDescent="0.3">
      <c r="A1711" t="s">
        <v>1579</v>
      </c>
      <c r="B1711" t="s">
        <v>1657</v>
      </c>
      <c r="C1711" s="1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  <c r="K1711" t="str">
        <f>TEXT(Table1[[#This Row],[PurchaseDate]],"mmm")</f>
        <v>Sep</v>
      </c>
      <c r="L1711">
        <f>YEAR(Table1[[#This Row],[PurchaseDate]])</f>
        <v>2024</v>
      </c>
      <c r="M1711" t="str">
        <f>IF(Table1[[#This Row],[TotalPrice]]&gt;2000,"High Sales","Low Sales")</f>
        <v>High Sales</v>
      </c>
    </row>
    <row r="1712" spans="1:13" x14ac:dyDescent="0.3">
      <c r="A1712" t="s">
        <v>1580</v>
      </c>
      <c r="B1712" t="s">
        <v>1658</v>
      </c>
      <c r="C1712" s="1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  <c r="K1712" t="str">
        <f>TEXT(Table1[[#This Row],[PurchaseDate]],"mmm")</f>
        <v>Jul</v>
      </c>
      <c r="L1712">
        <f>YEAR(Table1[[#This Row],[PurchaseDate]])</f>
        <v>2024</v>
      </c>
      <c r="M1712" t="str">
        <f>IF(Table1[[#This Row],[TotalPrice]]&gt;2000,"High Sales","Low Sales")</f>
        <v>Low Sales</v>
      </c>
    </row>
    <row r="1713" spans="1:13" x14ac:dyDescent="0.3">
      <c r="A1713" t="s">
        <v>1581</v>
      </c>
      <c r="B1713" t="s">
        <v>1655</v>
      </c>
      <c r="C1713" s="1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  <c r="K1713" t="str">
        <f>TEXT(Table1[[#This Row],[PurchaseDate]],"mmm")</f>
        <v>Feb</v>
      </c>
      <c r="L1713">
        <f>YEAR(Table1[[#This Row],[PurchaseDate]])</f>
        <v>2023</v>
      </c>
      <c r="M1713" t="str">
        <f>IF(Table1[[#This Row],[TotalPrice]]&gt;2000,"High Sales","Low Sales")</f>
        <v>Low Sales</v>
      </c>
    </row>
    <row r="1714" spans="1:13" x14ac:dyDescent="0.3">
      <c r="A1714" t="s">
        <v>1582</v>
      </c>
      <c r="B1714" t="s">
        <v>1658</v>
      </c>
      <c r="C1714" s="1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  <c r="K1714" t="str">
        <f>TEXT(Table1[[#This Row],[PurchaseDate]],"mmm")</f>
        <v>Jan</v>
      </c>
      <c r="L1714">
        <f>YEAR(Table1[[#This Row],[PurchaseDate]])</f>
        <v>2023</v>
      </c>
      <c r="M1714" t="str">
        <f>IF(Table1[[#This Row],[TotalPrice]]&gt;2000,"High Sales","Low Sales")</f>
        <v>High Sales</v>
      </c>
    </row>
    <row r="1715" spans="1:13" x14ac:dyDescent="0.3">
      <c r="A1715" t="s">
        <v>1583</v>
      </c>
      <c r="B1715" t="s">
        <v>1653</v>
      </c>
      <c r="C1715" s="1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  <c r="K1715" t="str">
        <f>TEXT(Table1[[#This Row],[PurchaseDate]],"mmm")</f>
        <v>Feb</v>
      </c>
      <c r="L1715">
        <f>YEAR(Table1[[#This Row],[PurchaseDate]])</f>
        <v>2024</v>
      </c>
      <c r="M1715" t="str">
        <f>IF(Table1[[#This Row],[TotalPrice]]&gt;2000,"High Sales","Low Sales")</f>
        <v>Low Sales</v>
      </c>
    </row>
    <row r="1716" spans="1:13" x14ac:dyDescent="0.3">
      <c r="A1716" t="s">
        <v>1584</v>
      </c>
      <c r="B1716" t="s">
        <v>1653</v>
      </c>
      <c r="C1716" s="1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  <c r="K1716" t="str">
        <f>TEXT(Table1[[#This Row],[PurchaseDate]],"mmm")</f>
        <v>May</v>
      </c>
      <c r="L1716">
        <f>YEAR(Table1[[#This Row],[PurchaseDate]])</f>
        <v>2024</v>
      </c>
      <c r="M1716" t="str">
        <f>IF(Table1[[#This Row],[TotalPrice]]&gt;2000,"High Sales","Low Sales")</f>
        <v>Low Sales</v>
      </c>
    </row>
    <row r="1717" spans="1:13" x14ac:dyDescent="0.3">
      <c r="A1717" t="s">
        <v>1585</v>
      </c>
      <c r="B1717" t="s">
        <v>1658</v>
      </c>
      <c r="C1717" s="1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  <c r="K1717" t="str">
        <f>TEXT(Table1[[#This Row],[PurchaseDate]],"mmm")</f>
        <v>Mar</v>
      </c>
      <c r="L1717">
        <f>YEAR(Table1[[#This Row],[PurchaseDate]])</f>
        <v>2023</v>
      </c>
      <c r="M1717" t="str">
        <f>IF(Table1[[#This Row],[TotalPrice]]&gt;2000,"High Sales","Low Sales")</f>
        <v>Low Sales</v>
      </c>
    </row>
    <row r="1718" spans="1:13" x14ac:dyDescent="0.3">
      <c r="A1718" t="s">
        <v>1586</v>
      </c>
      <c r="B1718" t="s">
        <v>1656</v>
      </c>
      <c r="C1718" s="1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  <c r="K1718" t="str">
        <f>TEXT(Table1[[#This Row],[PurchaseDate]],"mmm")</f>
        <v>Sep</v>
      </c>
      <c r="L1718">
        <f>YEAR(Table1[[#This Row],[PurchaseDate]])</f>
        <v>2024</v>
      </c>
      <c r="M1718" t="str">
        <f>IF(Table1[[#This Row],[TotalPrice]]&gt;2000,"High Sales","Low Sales")</f>
        <v>Low Sales</v>
      </c>
    </row>
    <row r="1719" spans="1:13" x14ac:dyDescent="0.3">
      <c r="A1719" t="s">
        <v>1587</v>
      </c>
      <c r="B1719" t="s">
        <v>1656</v>
      </c>
      <c r="C1719" s="1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  <c r="K1719" t="str">
        <f>TEXT(Table1[[#This Row],[PurchaseDate]],"mmm")</f>
        <v>Nov</v>
      </c>
      <c r="L1719">
        <f>YEAR(Table1[[#This Row],[PurchaseDate]])</f>
        <v>2023</v>
      </c>
      <c r="M1719" t="str">
        <f>IF(Table1[[#This Row],[TotalPrice]]&gt;2000,"High Sales","Low Sales")</f>
        <v>Low Sales</v>
      </c>
    </row>
    <row r="1720" spans="1:13" x14ac:dyDescent="0.3">
      <c r="A1720" t="s">
        <v>1588</v>
      </c>
      <c r="B1720" t="s">
        <v>1657</v>
      </c>
      <c r="C1720" s="1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  <c r="K1720" t="str">
        <f>TEXT(Table1[[#This Row],[PurchaseDate]],"mmm")</f>
        <v>Nov</v>
      </c>
      <c r="L1720">
        <f>YEAR(Table1[[#This Row],[PurchaseDate]])</f>
        <v>2023</v>
      </c>
      <c r="M1720" t="str">
        <f>IF(Table1[[#This Row],[TotalPrice]]&gt;2000,"High Sales","Low Sales")</f>
        <v>Low Sales</v>
      </c>
    </row>
    <row r="1721" spans="1:13" x14ac:dyDescent="0.3">
      <c r="A1721" t="s">
        <v>1589</v>
      </c>
      <c r="B1721" t="s">
        <v>1654</v>
      </c>
      <c r="C1721" s="1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  <c r="K1721" t="str">
        <f>TEXT(Table1[[#This Row],[PurchaseDate]],"mmm")</f>
        <v>Aug</v>
      </c>
      <c r="L1721">
        <f>YEAR(Table1[[#This Row],[PurchaseDate]])</f>
        <v>2024</v>
      </c>
      <c r="M1721" t="str">
        <f>IF(Table1[[#This Row],[TotalPrice]]&gt;2000,"High Sales","Low Sales")</f>
        <v>Low Sales</v>
      </c>
    </row>
    <row r="1722" spans="1:13" x14ac:dyDescent="0.3">
      <c r="A1722" t="s">
        <v>1590</v>
      </c>
      <c r="B1722" t="s">
        <v>1653</v>
      </c>
      <c r="C1722" s="1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  <c r="K1722" t="str">
        <f>TEXT(Table1[[#This Row],[PurchaseDate]],"mmm")</f>
        <v>Dec</v>
      </c>
      <c r="L1722">
        <f>YEAR(Table1[[#This Row],[PurchaseDate]])</f>
        <v>2023</v>
      </c>
      <c r="M1722" t="str">
        <f>IF(Table1[[#This Row],[TotalPrice]]&gt;2000,"High Sales","Low Sales")</f>
        <v>Low Sales</v>
      </c>
    </row>
    <row r="1723" spans="1:13" x14ac:dyDescent="0.3">
      <c r="A1723" t="s">
        <v>902</v>
      </c>
      <c r="B1723" t="s">
        <v>1653</v>
      </c>
      <c r="C1723" s="1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  <c r="K1723" t="str">
        <f>TEXT(Table1[[#This Row],[PurchaseDate]],"mmm")</f>
        <v>Jan</v>
      </c>
      <c r="L1723">
        <f>YEAR(Table1[[#This Row],[PurchaseDate]])</f>
        <v>2023</v>
      </c>
      <c r="M1723" t="str">
        <f>IF(Table1[[#This Row],[TotalPrice]]&gt;2000,"High Sales","Low Sales")</f>
        <v>Low Sales</v>
      </c>
    </row>
    <row r="1724" spans="1:13" x14ac:dyDescent="0.3">
      <c r="A1724" t="s">
        <v>768</v>
      </c>
      <c r="B1724" t="s">
        <v>1656</v>
      </c>
      <c r="C1724" s="1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  <c r="K1724" t="str">
        <f>TEXT(Table1[[#This Row],[PurchaseDate]],"mmm")</f>
        <v>Mar</v>
      </c>
      <c r="L1724">
        <f>YEAR(Table1[[#This Row],[PurchaseDate]])</f>
        <v>2023</v>
      </c>
      <c r="M1724" t="str">
        <f>IF(Table1[[#This Row],[TotalPrice]]&gt;2000,"High Sales","Low Sales")</f>
        <v>Low Sales</v>
      </c>
    </row>
    <row r="1725" spans="1:13" x14ac:dyDescent="0.3">
      <c r="A1725" t="s">
        <v>1591</v>
      </c>
      <c r="B1725" t="s">
        <v>1654</v>
      </c>
      <c r="C1725" s="1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  <c r="K1725" t="str">
        <f>TEXT(Table1[[#This Row],[PurchaseDate]],"mmm")</f>
        <v>Oct</v>
      </c>
      <c r="L1725">
        <f>YEAR(Table1[[#This Row],[PurchaseDate]])</f>
        <v>2024</v>
      </c>
      <c r="M1725" t="str">
        <f>IF(Table1[[#This Row],[TotalPrice]]&gt;2000,"High Sales","Low Sales")</f>
        <v>Low Sales</v>
      </c>
    </row>
    <row r="1726" spans="1:13" x14ac:dyDescent="0.3">
      <c r="A1726" t="s">
        <v>1592</v>
      </c>
      <c r="B1726" t="s">
        <v>1653</v>
      </c>
      <c r="C1726" s="1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  <c r="K1726" t="str">
        <f>TEXT(Table1[[#This Row],[PurchaseDate]],"mmm")</f>
        <v>Sep</v>
      </c>
      <c r="L1726">
        <f>YEAR(Table1[[#This Row],[PurchaseDate]])</f>
        <v>2023</v>
      </c>
      <c r="M1726" t="str">
        <f>IF(Table1[[#This Row],[TotalPrice]]&gt;2000,"High Sales","Low Sales")</f>
        <v>High Sales</v>
      </c>
    </row>
    <row r="1727" spans="1:13" x14ac:dyDescent="0.3">
      <c r="A1727" t="s">
        <v>1063</v>
      </c>
      <c r="B1727" t="s">
        <v>1655</v>
      </c>
      <c r="C1727" s="1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  <c r="K1727" t="str">
        <f>TEXT(Table1[[#This Row],[PurchaseDate]],"mmm")</f>
        <v>Jul</v>
      </c>
      <c r="L1727">
        <f>YEAR(Table1[[#This Row],[PurchaseDate]])</f>
        <v>2024</v>
      </c>
      <c r="M1727" t="str">
        <f>IF(Table1[[#This Row],[TotalPrice]]&gt;2000,"High Sales","Low Sales")</f>
        <v>High Sales</v>
      </c>
    </row>
    <row r="1728" spans="1:13" x14ac:dyDescent="0.3">
      <c r="A1728" t="s">
        <v>1593</v>
      </c>
      <c r="B1728" t="s">
        <v>1656</v>
      </c>
      <c r="C1728" s="1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  <c r="K1728" t="str">
        <f>TEXT(Table1[[#This Row],[PurchaseDate]],"mmm")</f>
        <v>Jul</v>
      </c>
      <c r="L1728">
        <f>YEAR(Table1[[#This Row],[PurchaseDate]])</f>
        <v>2023</v>
      </c>
      <c r="M1728" t="str">
        <f>IF(Table1[[#This Row],[TotalPrice]]&gt;2000,"High Sales","Low Sales")</f>
        <v>High Sales</v>
      </c>
    </row>
    <row r="1729" spans="1:13" x14ac:dyDescent="0.3">
      <c r="A1729" t="s">
        <v>1594</v>
      </c>
      <c r="B1729" t="s">
        <v>1657</v>
      </c>
      <c r="C1729" s="1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  <c r="K1729" t="str">
        <f>TEXT(Table1[[#This Row],[PurchaseDate]],"mmm")</f>
        <v>Jan</v>
      </c>
      <c r="L1729">
        <f>YEAR(Table1[[#This Row],[PurchaseDate]])</f>
        <v>2025</v>
      </c>
      <c r="M1729" t="str">
        <f>IF(Table1[[#This Row],[TotalPrice]]&gt;2000,"High Sales","Low Sales")</f>
        <v>Low Sales</v>
      </c>
    </row>
    <row r="1730" spans="1:13" x14ac:dyDescent="0.3">
      <c r="A1730" t="s">
        <v>928</v>
      </c>
      <c r="B1730" t="s">
        <v>1656</v>
      </c>
      <c r="C1730" s="1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  <c r="K1730" t="str">
        <f>TEXT(Table1[[#This Row],[PurchaseDate]],"mmm")</f>
        <v>Jun</v>
      </c>
      <c r="L1730">
        <f>YEAR(Table1[[#This Row],[PurchaseDate]])</f>
        <v>2025</v>
      </c>
      <c r="M1730" t="str">
        <f>IF(Table1[[#This Row],[TotalPrice]]&gt;2000,"High Sales","Low Sales")</f>
        <v>High Sales</v>
      </c>
    </row>
    <row r="1731" spans="1:13" x14ac:dyDescent="0.3">
      <c r="A1731" t="s">
        <v>1595</v>
      </c>
      <c r="B1731" t="s">
        <v>1652</v>
      </c>
      <c r="C1731" s="1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  <c r="K1731" t="str">
        <f>TEXT(Table1[[#This Row],[PurchaseDate]],"mmm")</f>
        <v>Oct</v>
      </c>
      <c r="L1731">
        <f>YEAR(Table1[[#This Row],[PurchaseDate]])</f>
        <v>2024</v>
      </c>
      <c r="M1731" t="str">
        <f>IF(Table1[[#This Row],[TotalPrice]]&gt;2000,"High Sales","Low Sales")</f>
        <v>Low Sales</v>
      </c>
    </row>
    <row r="1732" spans="1:13" x14ac:dyDescent="0.3">
      <c r="A1732" t="s">
        <v>1596</v>
      </c>
      <c r="B1732" t="s">
        <v>1655</v>
      </c>
      <c r="C1732" s="1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  <c r="K1732" t="str">
        <f>TEXT(Table1[[#This Row],[PurchaseDate]],"mmm")</f>
        <v>Apr</v>
      </c>
      <c r="L1732">
        <f>YEAR(Table1[[#This Row],[PurchaseDate]])</f>
        <v>2025</v>
      </c>
      <c r="M1732" t="str">
        <f>IF(Table1[[#This Row],[TotalPrice]]&gt;2000,"High Sales","Low Sales")</f>
        <v>High Sales</v>
      </c>
    </row>
    <row r="1733" spans="1:13" x14ac:dyDescent="0.3">
      <c r="A1733" t="s">
        <v>1012</v>
      </c>
      <c r="B1733" t="s">
        <v>1658</v>
      </c>
      <c r="C1733" s="1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  <c r="K1733" t="str">
        <f>TEXT(Table1[[#This Row],[PurchaseDate]],"mmm")</f>
        <v>Jul</v>
      </c>
      <c r="L1733">
        <f>YEAR(Table1[[#This Row],[PurchaseDate]])</f>
        <v>2024</v>
      </c>
      <c r="M1733" t="str">
        <f>IF(Table1[[#This Row],[TotalPrice]]&gt;2000,"High Sales","Low Sales")</f>
        <v>Low Sales</v>
      </c>
    </row>
    <row r="1734" spans="1:13" x14ac:dyDescent="0.3">
      <c r="A1734" t="s">
        <v>98</v>
      </c>
      <c r="B1734" t="s">
        <v>1654</v>
      </c>
      <c r="C1734" s="1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  <c r="K1734" t="str">
        <f>TEXT(Table1[[#This Row],[PurchaseDate]],"mmm")</f>
        <v>Apr</v>
      </c>
      <c r="L1734">
        <f>YEAR(Table1[[#This Row],[PurchaseDate]])</f>
        <v>2023</v>
      </c>
      <c r="M1734" t="str">
        <f>IF(Table1[[#This Row],[TotalPrice]]&gt;2000,"High Sales","Low Sales")</f>
        <v>High Sales</v>
      </c>
    </row>
    <row r="1735" spans="1:13" x14ac:dyDescent="0.3">
      <c r="A1735" t="s">
        <v>645</v>
      </c>
      <c r="B1735" t="s">
        <v>1654</v>
      </c>
      <c r="C1735" s="1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  <c r="K1735" t="str">
        <f>TEXT(Table1[[#This Row],[PurchaseDate]],"mmm")</f>
        <v>Feb</v>
      </c>
      <c r="L1735">
        <f>YEAR(Table1[[#This Row],[PurchaseDate]])</f>
        <v>2024</v>
      </c>
      <c r="M1735" t="str">
        <f>IF(Table1[[#This Row],[TotalPrice]]&gt;2000,"High Sales","Low Sales")</f>
        <v>Low Sales</v>
      </c>
    </row>
    <row r="1736" spans="1:13" x14ac:dyDescent="0.3">
      <c r="A1736" t="s">
        <v>1597</v>
      </c>
      <c r="B1736" t="s">
        <v>1653</v>
      </c>
      <c r="C1736" s="1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  <c r="K1736" t="str">
        <f>TEXT(Table1[[#This Row],[PurchaseDate]],"mmm")</f>
        <v>Jul</v>
      </c>
      <c r="L1736">
        <f>YEAR(Table1[[#This Row],[PurchaseDate]])</f>
        <v>2023</v>
      </c>
      <c r="M1736" t="str">
        <f>IF(Table1[[#This Row],[TotalPrice]]&gt;2000,"High Sales","Low Sales")</f>
        <v>Low Sales</v>
      </c>
    </row>
    <row r="1737" spans="1:13" x14ac:dyDescent="0.3">
      <c r="A1737" t="s">
        <v>1598</v>
      </c>
      <c r="B1737" t="s">
        <v>1657</v>
      </c>
      <c r="C1737" s="1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  <c r="K1737" t="str">
        <f>TEXT(Table1[[#This Row],[PurchaseDate]],"mmm")</f>
        <v>Jun</v>
      </c>
      <c r="L1737">
        <f>YEAR(Table1[[#This Row],[PurchaseDate]])</f>
        <v>2025</v>
      </c>
      <c r="M1737" t="str">
        <f>IF(Table1[[#This Row],[TotalPrice]]&gt;2000,"High Sales","Low Sales")</f>
        <v>Low Sales</v>
      </c>
    </row>
    <row r="1738" spans="1:13" x14ac:dyDescent="0.3">
      <c r="A1738" t="s">
        <v>1599</v>
      </c>
      <c r="B1738" t="s">
        <v>1656</v>
      </c>
      <c r="C1738" s="1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  <c r="K1738" t="str">
        <f>TEXT(Table1[[#This Row],[PurchaseDate]],"mmm")</f>
        <v>Apr</v>
      </c>
      <c r="L1738">
        <f>YEAR(Table1[[#This Row],[PurchaseDate]])</f>
        <v>2024</v>
      </c>
      <c r="M1738" t="str">
        <f>IF(Table1[[#This Row],[TotalPrice]]&gt;2000,"High Sales","Low Sales")</f>
        <v>High Sales</v>
      </c>
    </row>
    <row r="1739" spans="1:13" x14ac:dyDescent="0.3">
      <c r="A1739" t="s">
        <v>1600</v>
      </c>
      <c r="B1739" t="s">
        <v>1657</v>
      </c>
      <c r="C1739" s="1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  <c r="K1739" t="str">
        <f>TEXT(Table1[[#This Row],[PurchaseDate]],"mmm")</f>
        <v>Jun</v>
      </c>
      <c r="L1739">
        <f>YEAR(Table1[[#This Row],[PurchaseDate]])</f>
        <v>2025</v>
      </c>
      <c r="M1739" t="str">
        <f>IF(Table1[[#This Row],[TotalPrice]]&gt;2000,"High Sales","Low Sales")</f>
        <v>High Sales</v>
      </c>
    </row>
    <row r="1740" spans="1:13" x14ac:dyDescent="0.3">
      <c r="A1740" t="s">
        <v>1601</v>
      </c>
      <c r="B1740" t="s">
        <v>1655</v>
      </c>
      <c r="C1740" s="1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  <c r="K1740" t="str">
        <f>TEXT(Table1[[#This Row],[PurchaseDate]],"mmm")</f>
        <v>Nov</v>
      </c>
      <c r="L1740">
        <f>YEAR(Table1[[#This Row],[PurchaseDate]])</f>
        <v>2024</v>
      </c>
      <c r="M1740" t="str">
        <f>IF(Table1[[#This Row],[TotalPrice]]&gt;2000,"High Sales","Low Sales")</f>
        <v>High Sales</v>
      </c>
    </row>
    <row r="1741" spans="1:13" x14ac:dyDescent="0.3">
      <c r="A1741" t="s">
        <v>1602</v>
      </c>
      <c r="B1741" t="s">
        <v>1655</v>
      </c>
      <c r="C1741" s="1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  <c r="K1741" t="str">
        <f>TEXT(Table1[[#This Row],[PurchaseDate]],"mmm")</f>
        <v>Nov</v>
      </c>
      <c r="L1741">
        <f>YEAR(Table1[[#This Row],[PurchaseDate]])</f>
        <v>2024</v>
      </c>
      <c r="M1741" t="str">
        <f>IF(Table1[[#This Row],[TotalPrice]]&gt;2000,"High Sales","Low Sales")</f>
        <v>Low Sales</v>
      </c>
    </row>
    <row r="1742" spans="1:13" x14ac:dyDescent="0.3">
      <c r="A1742" t="s">
        <v>1603</v>
      </c>
      <c r="B1742" t="s">
        <v>1654</v>
      </c>
      <c r="C1742" s="1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  <c r="K1742" t="str">
        <f>TEXT(Table1[[#This Row],[PurchaseDate]],"mmm")</f>
        <v>Jul</v>
      </c>
      <c r="L1742">
        <f>YEAR(Table1[[#This Row],[PurchaseDate]])</f>
        <v>2023</v>
      </c>
      <c r="M1742" t="str">
        <f>IF(Table1[[#This Row],[TotalPrice]]&gt;2000,"High Sales","Low Sales")</f>
        <v>Low Sales</v>
      </c>
    </row>
    <row r="1743" spans="1:13" x14ac:dyDescent="0.3">
      <c r="A1743" t="s">
        <v>1604</v>
      </c>
      <c r="B1743" t="s">
        <v>1652</v>
      </c>
      <c r="C1743" s="1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  <c r="K1743" t="str">
        <f>TEXT(Table1[[#This Row],[PurchaseDate]],"mmm")</f>
        <v>Jun</v>
      </c>
      <c r="L1743">
        <f>YEAR(Table1[[#This Row],[PurchaseDate]])</f>
        <v>2025</v>
      </c>
      <c r="M1743" t="str">
        <f>IF(Table1[[#This Row],[TotalPrice]]&gt;2000,"High Sales","Low Sales")</f>
        <v>High Sales</v>
      </c>
    </row>
    <row r="1744" spans="1:13" x14ac:dyDescent="0.3">
      <c r="A1744" t="s">
        <v>1605</v>
      </c>
      <c r="B1744" t="s">
        <v>1653</v>
      </c>
      <c r="C1744" s="1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  <c r="K1744" t="str">
        <f>TEXT(Table1[[#This Row],[PurchaseDate]],"mmm")</f>
        <v>Sep</v>
      </c>
      <c r="L1744">
        <f>YEAR(Table1[[#This Row],[PurchaseDate]])</f>
        <v>2023</v>
      </c>
      <c r="M1744" t="str">
        <f>IF(Table1[[#This Row],[TotalPrice]]&gt;2000,"High Sales","Low Sales")</f>
        <v>Low Sales</v>
      </c>
    </row>
    <row r="1745" spans="1:13" x14ac:dyDescent="0.3">
      <c r="A1745" t="s">
        <v>1606</v>
      </c>
      <c r="B1745" t="s">
        <v>1653</v>
      </c>
      <c r="C1745" s="1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  <c r="K1745" t="str">
        <f>TEXT(Table1[[#This Row],[PurchaseDate]],"mmm")</f>
        <v>Oct</v>
      </c>
      <c r="L1745">
        <f>YEAR(Table1[[#This Row],[PurchaseDate]])</f>
        <v>2024</v>
      </c>
      <c r="M1745" t="str">
        <f>IF(Table1[[#This Row],[TotalPrice]]&gt;2000,"High Sales","Low Sales")</f>
        <v>Low Sales</v>
      </c>
    </row>
    <row r="1746" spans="1:13" x14ac:dyDescent="0.3">
      <c r="A1746" t="s">
        <v>1475</v>
      </c>
      <c r="B1746" t="s">
        <v>1657</v>
      </c>
      <c r="C1746" s="1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  <c r="K1746" t="str">
        <f>TEXT(Table1[[#This Row],[PurchaseDate]],"mmm")</f>
        <v>Feb</v>
      </c>
      <c r="L1746">
        <f>YEAR(Table1[[#This Row],[PurchaseDate]])</f>
        <v>2024</v>
      </c>
      <c r="M1746" t="str">
        <f>IF(Table1[[#This Row],[TotalPrice]]&gt;2000,"High Sales","Low Sales")</f>
        <v>Low Sales</v>
      </c>
    </row>
    <row r="1747" spans="1:13" x14ac:dyDescent="0.3">
      <c r="A1747" t="s">
        <v>1607</v>
      </c>
      <c r="B1747" t="s">
        <v>1658</v>
      </c>
      <c r="C1747" s="1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  <c r="K1747" t="str">
        <f>TEXT(Table1[[#This Row],[PurchaseDate]],"mmm")</f>
        <v>Aug</v>
      </c>
      <c r="L1747">
        <f>YEAR(Table1[[#This Row],[PurchaseDate]])</f>
        <v>2023</v>
      </c>
      <c r="M1747" t="str">
        <f>IF(Table1[[#This Row],[TotalPrice]]&gt;2000,"High Sales","Low Sales")</f>
        <v>Low Sales</v>
      </c>
    </row>
    <row r="1748" spans="1:13" x14ac:dyDescent="0.3">
      <c r="A1748" t="s">
        <v>1608</v>
      </c>
      <c r="B1748" t="s">
        <v>1653</v>
      </c>
      <c r="C1748" s="1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  <c r="K1748" t="str">
        <f>TEXT(Table1[[#This Row],[PurchaseDate]],"mmm")</f>
        <v>Nov</v>
      </c>
      <c r="L1748">
        <f>YEAR(Table1[[#This Row],[PurchaseDate]])</f>
        <v>2023</v>
      </c>
      <c r="M1748" t="str">
        <f>IF(Table1[[#This Row],[TotalPrice]]&gt;2000,"High Sales","Low Sales")</f>
        <v>Low Sales</v>
      </c>
    </row>
    <row r="1749" spans="1:13" x14ac:dyDescent="0.3">
      <c r="A1749" t="s">
        <v>1609</v>
      </c>
      <c r="B1749" t="s">
        <v>1656</v>
      </c>
      <c r="C1749" s="1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  <c r="K1749" t="str">
        <f>TEXT(Table1[[#This Row],[PurchaseDate]],"mmm")</f>
        <v>Jul</v>
      </c>
      <c r="L1749">
        <f>YEAR(Table1[[#This Row],[PurchaseDate]])</f>
        <v>2024</v>
      </c>
      <c r="M1749" t="str">
        <f>IF(Table1[[#This Row],[TotalPrice]]&gt;2000,"High Sales","Low Sales")</f>
        <v>Low Sales</v>
      </c>
    </row>
    <row r="1750" spans="1:13" x14ac:dyDescent="0.3">
      <c r="A1750" t="s">
        <v>1610</v>
      </c>
      <c r="B1750" t="s">
        <v>1655</v>
      </c>
      <c r="C1750" s="1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  <c r="K1750" t="str">
        <f>TEXT(Table1[[#This Row],[PurchaseDate]],"mmm")</f>
        <v>Jul</v>
      </c>
      <c r="L1750">
        <f>YEAR(Table1[[#This Row],[PurchaseDate]])</f>
        <v>2023</v>
      </c>
      <c r="M1750" t="str">
        <f>IF(Table1[[#This Row],[TotalPrice]]&gt;2000,"High Sales","Low Sales")</f>
        <v>Low Sales</v>
      </c>
    </row>
    <row r="1751" spans="1:13" x14ac:dyDescent="0.3">
      <c r="A1751" t="s">
        <v>1611</v>
      </c>
      <c r="B1751" t="s">
        <v>1654</v>
      </c>
      <c r="C1751" s="1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  <c r="K1751" t="str">
        <f>TEXT(Table1[[#This Row],[PurchaseDate]],"mmm")</f>
        <v>Apr</v>
      </c>
      <c r="L1751">
        <f>YEAR(Table1[[#This Row],[PurchaseDate]])</f>
        <v>2025</v>
      </c>
      <c r="M1751" t="str">
        <f>IF(Table1[[#This Row],[TotalPrice]]&gt;2000,"High Sales","Low Sales")</f>
        <v>Low Sales</v>
      </c>
    </row>
    <row r="1752" spans="1:13" x14ac:dyDescent="0.3">
      <c r="A1752" t="s">
        <v>1612</v>
      </c>
      <c r="B1752" t="s">
        <v>1658</v>
      </c>
      <c r="C1752" s="1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  <c r="K1752" t="str">
        <f>TEXT(Table1[[#This Row],[PurchaseDate]],"mmm")</f>
        <v>Nov</v>
      </c>
      <c r="L1752">
        <f>YEAR(Table1[[#This Row],[PurchaseDate]])</f>
        <v>2023</v>
      </c>
      <c r="M1752" t="str">
        <f>IF(Table1[[#This Row],[TotalPrice]]&gt;2000,"High Sales","Low Sales")</f>
        <v>High Sales</v>
      </c>
    </row>
    <row r="1753" spans="1:13" x14ac:dyDescent="0.3">
      <c r="A1753" t="s">
        <v>379</v>
      </c>
      <c r="B1753" t="s">
        <v>1655</v>
      </c>
      <c r="C1753" s="1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  <c r="K1753" t="str">
        <f>TEXT(Table1[[#This Row],[PurchaseDate]],"mmm")</f>
        <v>Aug</v>
      </c>
      <c r="L1753">
        <f>YEAR(Table1[[#This Row],[PurchaseDate]])</f>
        <v>2023</v>
      </c>
      <c r="M1753" t="str">
        <f>IF(Table1[[#This Row],[TotalPrice]]&gt;2000,"High Sales","Low Sales")</f>
        <v>Low Sales</v>
      </c>
    </row>
    <row r="1754" spans="1:13" x14ac:dyDescent="0.3">
      <c r="A1754" t="s">
        <v>1613</v>
      </c>
      <c r="B1754" t="s">
        <v>1656</v>
      </c>
      <c r="C1754" s="1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  <c r="K1754" t="str">
        <f>TEXT(Table1[[#This Row],[PurchaseDate]],"mmm")</f>
        <v>Mar</v>
      </c>
      <c r="L1754">
        <f>YEAR(Table1[[#This Row],[PurchaseDate]])</f>
        <v>2024</v>
      </c>
      <c r="M1754" t="str">
        <f>IF(Table1[[#This Row],[TotalPrice]]&gt;2000,"High Sales","Low Sales")</f>
        <v>Low Sales</v>
      </c>
    </row>
    <row r="1755" spans="1:13" x14ac:dyDescent="0.3">
      <c r="A1755" t="s">
        <v>1614</v>
      </c>
      <c r="B1755" t="s">
        <v>1658</v>
      </c>
      <c r="C1755" s="1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  <c r="K1755" t="str">
        <f>TEXT(Table1[[#This Row],[PurchaseDate]],"mmm")</f>
        <v>May</v>
      </c>
      <c r="L1755">
        <f>YEAR(Table1[[#This Row],[PurchaseDate]])</f>
        <v>2025</v>
      </c>
      <c r="M1755" t="str">
        <f>IF(Table1[[#This Row],[TotalPrice]]&gt;2000,"High Sales","Low Sales")</f>
        <v>Low Sales</v>
      </c>
    </row>
    <row r="1756" spans="1:13" x14ac:dyDescent="0.3">
      <c r="A1756" t="s">
        <v>1615</v>
      </c>
      <c r="B1756" t="s">
        <v>1658</v>
      </c>
      <c r="C1756" s="1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  <c r="K1756" t="str">
        <f>TEXT(Table1[[#This Row],[PurchaseDate]],"mmm")</f>
        <v>Aug</v>
      </c>
      <c r="L1756">
        <f>YEAR(Table1[[#This Row],[PurchaseDate]])</f>
        <v>2024</v>
      </c>
      <c r="M1756" t="str">
        <f>IF(Table1[[#This Row],[TotalPrice]]&gt;2000,"High Sales","Low Sales")</f>
        <v>Low Sales</v>
      </c>
    </row>
    <row r="1757" spans="1:13" x14ac:dyDescent="0.3">
      <c r="A1757" t="s">
        <v>1616</v>
      </c>
      <c r="B1757" t="s">
        <v>1656</v>
      </c>
      <c r="C1757" s="1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  <c r="K1757" t="str">
        <f>TEXT(Table1[[#This Row],[PurchaseDate]],"mmm")</f>
        <v>Dec</v>
      </c>
      <c r="L1757">
        <f>YEAR(Table1[[#This Row],[PurchaseDate]])</f>
        <v>2023</v>
      </c>
      <c r="M1757" t="str">
        <f>IF(Table1[[#This Row],[TotalPrice]]&gt;2000,"High Sales","Low Sales")</f>
        <v>Low Sales</v>
      </c>
    </row>
    <row r="1758" spans="1:13" x14ac:dyDescent="0.3">
      <c r="A1758" t="s">
        <v>1617</v>
      </c>
      <c r="B1758" t="s">
        <v>1653</v>
      </c>
      <c r="C1758" s="1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  <c r="K1758" t="str">
        <f>TEXT(Table1[[#This Row],[PurchaseDate]],"mmm")</f>
        <v>Jul</v>
      </c>
      <c r="L1758">
        <f>YEAR(Table1[[#This Row],[PurchaseDate]])</f>
        <v>2024</v>
      </c>
      <c r="M1758" t="str">
        <f>IF(Table1[[#This Row],[TotalPrice]]&gt;2000,"High Sales","Low Sales")</f>
        <v>Low Sales</v>
      </c>
    </row>
    <row r="1759" spans="1:13" x14ac:dyDescent="0.3">
      <c r="A1759" t="s">
        <v>1618</v>
      </c>
      <c r="B1759" t="s">
        <v>1656</v>
      </c>
      <c r="C1759" s="1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  <c r="K1759" t="str">
        <f>TEXT(Table1[[#This Row],[PurchaseDate]],"mmm")</f>
        <v>Nov</v>
      </c>
      <c r="L1759">
        <f>YEAR(Table1[[#This Row],[PurchaseDate]])</f>
        <v>2023</v>
      </c>
      <c r="M1759" t="str">
        <f>IF(Table1[[#This Row],[TotalPrice]]&gt;2000,"High Sales","Low Sales")</f>
        <v>Low Sales</v>
      </c>
    </row>
    <row r="1760" spans="1:13" x14ac:dyDescent="0.3">
      <c r="A1760" t="s">
        <v>1619</v>
      </c>
      <c r="B1760" t="s">
        <v>1653</v>
      </c>
      <c r="C1760" s="1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  <c r="K1760" t="str">
        <f>TEXT(Table1[[#This Row],[PurchaseDate]],"mmm")</f>
        <v>Jun</v>
      </c>
      <c r="L1760">
        <f>YEAR(Table1[[#This Row],[PurchaseDate]])</f>
        <v>2025</v>
      </c>
      <c r="M1760" t="str">
        <f>IF(Table1[[#This Row],[TotalPrice]]&gt;2000,"High Sales","Low Sales")</f>
        <v>Low Sales</v>
      </c>
    </row>
    <row r="1761" spans="1:13" x14ac:dyDescent="0.3">
      <c r="A1761" t="s">
        <v>1620</v>
      </c>
      <c r="B1761" t="s">
        <v>1652</v>
      </c>
      <c r="C1761" s="1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  <c r="K1761" t="str">
        <f>TEXT(Table1[[#This Row],[PurchaseDate]],"mmm")</f>
        <v>May</v>
      </c>
      <c r="L1761">
        <f>YEAR(Table1[[#This Row],[PurchaseDate]])</f>
        <v>2023</v>
      </c>
      <c r="M1761" t="str">
        <f>IF(Table1[[#This Row],[TotalPrice]]&gt;2000,"High Sales","Low Sales")</f>
        <v>Low Sales</v>
      </c>
    </row>
    <row r="1762" spans="1:13" x14ac:dyDescent="0.3">
      <c r="A1762" t="s">
        <v>1547</v>
      </c>
      <c r="B1762" t="s">
        <v>1654</v>
      </c>
      <c r="C1762" s="1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  <c r="K1762" t="str">
        <f>TEXT(Table1[[#This Row],[PurchaseDate]],"mmm")</f>
        <v>Sep</v>
      </c>
      <c r="L1762">
        <f>YEAR(Table1[[#This Row],[PurchaseDate]])</f>
        <v>2024</v>
      </c>
      <c r="M1762" t="str">
        <f>IF(Table1[[#This Row],[TotalPrice]]&gt;2000,"High Sales","Low Sales")</f>
        <v>High Sales</v>
      </c>
    </row>
    <row r="1763" spans="1:13" x14ac:dyDescent="0.3">
      <c r="A1763" t="s">
        <v>933</v>
      </c>
      <c r="B1763" t="s">
        <v>1655</v>
      </c>
      <c r="C1763" s="1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  <c r="K1763" t="str">
        <f>TEXT(Table1[[#This Row],[PurchaseDate]],"mmm")</f>
        <v>Apr</v>
      </c>
      <c r="L1763">
        <f>YEAR(Table1[[#This Row],[PurchaseDate]])</f>
        <v>2024</v>
      </c>
      <c r="M1763" t="str">
        <f>IF(Table1[[#This Row],[TotalPrice]]&gt;2000,"High Sales","Low Sales")</f>
        <v>Low Sales</v>
      </c>
    </row>
    <row r="1764" spans="1:13" x14ac:dyDescent="0.3">
      <c r="A1764" t="s">
        <v>1621</v>
      </c>
      <c r="B1764" t="s">
        <v>1655</v>
      </c>
      <c r="C1764" s="1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  <c r="K1764" t="str">
        <f>TEXT(Table1[[#This Row],[PurchaseDate]],"mmm")</f>
        <v>Feb</v>
      </c>
      <c r="L1764">
        <f>YEAR(Table1[[#This Row],[PurchaseDate]])</f>
        <v>2023</v>
      </c>
      <c r="M1764" t="str">
        <f>IF(Table1[[#This Row],[TotalPrice]]&gt;2000,"High Sales","Low Sales")</f>
        <v>Low Sales</v>
      </c>
    </row>
    <row r="1765" spans="1:13" x14ac:dyDescent="0.3">
      <c r="A1765" t="s">
        <v>1622</v>
      </c>
      <c r="B1765" t="s">
        <v>1657</v>
      </c>
      <c r="C1765" s="1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  <c r="K1765" t="str">
        <f>TEXT(Table1[[#This Row],[PurchaseDate]],"mmm")</f>
        <v>Feb</v>
      </c>
      <c r="L1765">
        <f>YEAR(Table1[[#This Row],[PurchaseDate]])</f>
        <v>2025</v>
      </c>
      <c r="M1765" t="str">
        <f>IF(Table1[[#This Row],[TotalPrice]]&gt;2000,"High Sales","Low Sales")</f>
        <v>High Sales</v>
      </c>
    </row>
    <row r="1766" spans="1:13" x14ac:dyDescent="0.3">
      <c r="A1766" t="s">
        <v>1623</v>
      </c>
      <c r="B1766" t="s">
        <v>1657</v>
      </c>
      <c r="C1766" s="1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  <c r="K1766" t="str">
        <f>TEXT(Table1[[#This Row],[PurchaseDate]],"mmm")</f>
        <v>Jul</v>
      </c>
      <c r="L1766">
        <f>YEAR(Table1[[#This Row],[PurchaseDate]])</f>
        <v>2023</v>
      </c>
      <c r="M1766" t="str">
        <f>IF(Table1[[#This Row],[TotalPrice]]&gt;2000,"High Sales","Low Sales")</f>
        <v>Low Sales</v>
      </c>
    </row>
    <row r="1767" spans="1:13" x14ac:dyDescent="0.3">
      <c r="A1767" t="s">
        <v>1624</v>
      </c>
      <c r="B1767" t="s">
        <v>1658</v>
      </c>
      <c r="C1767" s="1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  <c r="K1767" t="str">
        <f>TEXT(Table1[[#This Row],[PurchaseDate]],"mmm")</f>
        <v>Feb</v>
      </c>
      <c r="L1767">
        <f>YEAR(Table1[[#This Row],[PurchaseDate]])</f>
        <v>2023</v>
      </c>
      <c r="M1767" t="str">
        <f>IF(Table1[[#This Row],[TotalPrice]]&gt;2000,"High Sales","Low Sales")</f>
        <v>Low Sales</v>
      </c>
    </row>
    <row r="1768" spans="1:13" x14ac:dyDescent="0.3">
      <c r="A1768" t="s">
        <v>1625</v>
      </c>
      <c r="B1768" t="s">
        <v>1656</v>
      </c>
      <c r="C1768" s="1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  <c r="K1768" t="str">
        <f>TEXT(Table1[[#This Row],[PurchaseDate]],"mmm")</f>
        <v>Jul</v>
      </c>
      <c r="L1768">
        <f>YEAR(Table1[[#This Row],[PurchaseDate]])</f>
        <v>2024</v>
      </c>
      <c r="M1768" t="str">
        <f>IF(Table1[[#This Row],[TotalPrice]]&gt;2000,"High Sales","Low Sales")</f>
        <v>High Sales</v>
      </c>
    </row>
    <row r="1769" spans="1:13" x14ac:dyDescent="0.3">
      <c r="A1769" t="s">
        <v>967</v>
      </c>
      <c r="B1769" t="s">
        <v>1652</v>
      </c>
      <c r="C1769" s="1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  <c r="K1769" t="str">
        <f>TEXT(Table1[[#This Row],[PurchaseDate]],"mmm")</f>
        <v>May</v>
      </c>
      <c r="L1769">
        <f>YEAR(Table1[[#This Row],[PurchaseDate]])</f>
        <v>2023</v>
      </c>
      <c r="M1769" t="str">
        <f>IF(Table1[[#This Row],[TotalPrice]]&gt;2000,"High Sales","Low Sales")</f>
        <v>High Sales</v>
      </c>
    </row>
    <row r="1770" spans="1:13" x14ac:dyDescent="0.3">
      <c r="A1770" t="s">
        <v>1626</v>
      </c>
      <c r="B1770" t="s">
        <v>1654</v>
      </c>
      <c r="C1770" s="1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  <c r="K1770" t="str">
        <f>TEXT(Table1[[#This Row],[PurchaseDate]],"mmm")</f>
        <v>Apr</v>
      </c>
      <c r="L1770">
        <f>YEAR(Table1[[#This Row],[PurchaseDate]])</f>
        <v>2024</v>
      </c>
      <c r="M1770" t="str">
        <f>IF(Table1[[#This Row],[TotalPrice]]&gt;2000,"High Sales","Low Sales")</f>
        <v>Low Sales</v>
      </c>
    </row>
    <row r="1771" spans="1:13" x14ac:dyDescent="0.3">
      <c r="A1771" t="s">
        <v>1627</v>
      </c>
      <c r="B1771" t="s">
        <v>1657</v>
      </c>
      <c r="C1771" s="1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  <c r="K1771" t="str">
        <f>TEXT(Table1[[#This Row],[PurchaseDate]],"mmm")</f>
        <v>Oct</v>
      </c>
      <c r="L1771">
        <f>YEAR(Table1[[#This Row],[PurchaseDate]])</f>
        <v>2024</v>
      </c>
      <c r="M1771" t="str">
        <f>IF(Table1[[#This Row],[TotalPrice]]&gt;2000,"High Sales","Low Sales")</f>
        <v>Low Sales</v>
      </c>
    </row>
    <row r="1772" spans="1:13" x14ac:dyDescent="0.3">
      <c r="A1772" t="s">
        <v>1497</v>
      </c>
      <c r="B1772" t="s">
        <v>1653</v>
      </c>
      <c r="C1772" s="1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  <c r="K1772" t="str">
        <f>TEXT(Table1[[#This Row],[PurchaseDate]],"mmm")</f>
        <v>Nov</v>
      </c>
      <c r="L1772">
        <f>YEAR(Table1[[#This Row],[PurchaseDate]])</f>
        <v>2023</v>
      </c>
      <c r="M1772" t="str">
        <f>IF(Table1[[#This Row],[TotalPrice]]&gt;2000,"High Sales","Low Sales")</f>
        <v>Low Sales</v>
      </c>
    </row>
    <row r="1773" spans="1:13" x14ac:dyDescent="0.3">
      <c r="A1773" t="s">
        <v>190</v>
      </c>
      <c r="B1773" t="s">
        <v>1656</v>
      </c>
      <c r="C1773" s="1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  <c r="K1773" t="str">
        <f>TEXT(Table1[[#This Row],[PurchaseDate]],"mmm")</f>
        <v>Dec</v>
      </c>
      <c r="L1773">
        <f>YEAR(Table1[[#This Row],[PurchaseDate]])</f>
        <v>2024</v>
      </c>
      <c r="M1773" t="str">
        <f>IF(Table1[[#This Row],[TotalPrice]]&gt;2000,"High Sales","Low Sales")</f>
        <v>Low Sales</v>
      </c>
    </row>
    <row r="1774" spans="1:13" x14ac:dyDescent="0.3">
      <c r="A1774" t="s">
        <v>1628</v>
      </c>
      <c r="B1774" t="s">
        <v>1657</v>
      </c>
      <c r="C1774" s="1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  <c r="K1774" t="str">
        <f>TEXT(Table1[[#This Row],[PurchaseDate]],"mmm")</f>
        <v>Aug</v>
      </c>
      <c r="L1774">
        <f>YEAR(Table1[[#This Row],[PurchaseDate]])</f>
        <v>2024</v>
      </c>
      <c r="M1774" t="str">
        <f>IF(Table1[[#This Row],[TotalPrice]]&gt;2000,"High Sales","Low Sales")</f>
        <v>Low Sales</v>
      </c>
    </row>
    <row r="1775" spans="1:13" x14ac:dyDescent="0.3">
      <c r="A1775" t="s">
        <v>1629</v>
      </c>
      <c r="B1775" t="s">
        <v>1658</v>
      </c>
      <c r="C1775" s="1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  <c r="K1775" t="str">
        <f>TEXT(Table1[[#This Row],[PurchaseDate]],"mmm")</f>
        <v>Jul</v>
      </c>
      <c r="L1775">
        <f>YEAR(Table1[[#This Row],[PurchaseDate]])</f>
        <v>2023</v>
      </c>
      <c r="M1775" t="str">
        <f>IF(Table1[[#This Row],[TotalPrice]]&gt;2000,"High Sales","Low Sales")</f>
        <v>High Sales</v>
      </c>
    </row>
    <row r="1776" spans="1:13" x14ac:dyDescent="0.3">
      <c r="A1776" t="s">
        <v>1630</v>
      </c>
      <c r="B1776" t="s">
        <v>1656</v>
      </c>
      <c r="C1776" s="1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  <c r="K1776" t="str">
        <f>TEXT(Table1[[#This Row],[PurchaseDate]],"mmm")</f>
        <v>Sep</v>
      </c>
      <c r="L1776">
        <f>YEAR(Table1[[#This Row],[PurchaseDate]])</f>
        <v>2023</v>
      </c>
      <c r="M1776" t="str">
        <f>IF(Table1[[#This Row],[TotalPrice]]&gt;2000,"High Sales","Low Sales")</f>
        <v>Low Sales</v>
      </c>
    </row>
    <row r="1777" spans="1:13" x14ac:dyDescent="0.3">
      <c r="A1777" t="s">
        <v>1631</v>
      </c>
      <c r="B1777" t="s">
        <v>1655</v>
      </c>
      <c r="C1777" s="1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  <c r="K1777" t="str">
        <f>TEXT(Table1[[#This Row],[PurchaseDate]],"mmm")</f>
        <v>Apr</v>
      </c>
      <c r="L1777">
        <f>YEAR(Table1[[#This Row],[PurchaseDate]])</f>
        <v>2024</v>
      </c>
      <c r="M1777" t="str">
        <f>IF(Table1[[#This Row],[TotalPrice]]&gt;2000,"High Sales","Low Sales")</f>
        <v>High Sales</v>
      </c>
    </row>
    <row r="1778" spans="1:13" x14ac:dyDescent="0.3">
      <c r="A1778" t="s">
        <v>358</v>
      </c>
      <c r="B1778" t="s">
        <v>1656</v>
      </c>
      <c r="C1778" s="1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  <c r="K1778" t="str">
        <f>TEXT(Table1[[#This Row],[PurchaseDate]],"mmm")</f>
        <v>Apr</v>
      </c>
      <c r="L1778">
        <f>YEAR(Table1[[#This Row],[PurchaseDate]])</f>
        <v>2024</v>
      </c>
      <c r="M1778" t="str">
        <f>IF(Table1[[#This Row],[TotalPrice]]&gt;2000,"High Sales","Low Sales")</f>
        <v>High Sales</v>
      </c>
    </row>
    <row r="1779" spans="1:13" x14ac:dyDescent="0.3">
      <c r="A1779" t="s">
        <v>1632</v>
      </c>
      <c r="B1779" t="s">
        <v>1653</v>
      </c>
      <c r="C1779" s="1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  <c r="K1779" t="str">
        <f>TEXT(Table1[[#This Row],[PurchaseDate]],"mmm")</f>
        <v>Aug</v>
      </c>
      <c r="L1779">
        <f>YEAR(Table1[[#This Row],[PurchaseDate]])</f>
        <v>2024</v>
      </c>
      <c r="M1779" t="str">
        <f>IF(Table1[[#This Row],[TotalPrice]]&gt;2000,"High Sales","Low Sales")</f>
        <v>High Sales</v>
      </c>
    </row>
    <row r="1780" spans="1:13" x14ac:dyDescent="0.3">
      <c r="A1780" t="s">
        <v>1633</v>
      </c>
      <c r="B1780" t="s">
        <v>1656</v>
      </c>
      <c r="C1780" s="1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  <c r="K1780" t="str">
        <f>TEXT(Table1[[#This Row],[PurchaseDate]],"mmm")</f>
        <v>Dec</v>
      </c>
      <c r="L1780">
        <f>YEAR(Table1[[#This Row],[PurchaseDate]])</f>
        <v>2023</v>
      </c>
      <c r="M1780" t="str">
        <f>IF(Table1[[#This Row],[TotalPrice]]&gt;2000,"High Sales","Low Sales")</f>
        <v>Low Sales</v>
      </c>
    </row>
    <row r="1781" spans="1:13" x14ac:dyDescent="0.3">
      <c r="A1781" t="s">
        <v>1634</v>
      </c>
      <c r="B1781" t="s">
        <v>1653</v>
      </c>
      <c r="C1781" s="1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  <c r="K1781" t="str">
        <f>TEXT(Table1[[#This Row],[PurchaseDate]],"mmm")</f>
        <v>Nov</v>
      </c>
      <c r="L1781">
        <f>YEAR(Table1[[#This Row],[PurchaseDate]])</f>
        <v>2023</v>
      </c>
      <c r="M1781" t="str">
        <f>IF(Table1[[#This Row],[TotalPrice]]&gt;2000,"High Sales","Low Sales")</f>
        <v>Low Sales</v>
      </c>
    </row>
    <row r="1782" spans="1:13" x14ac:dyDescent="0.3">
      <c r="A1782" t="s">
        <v>1635</v>
      </c>
      <c r="B1782" t="s">
        <v>1655</v>
      </c>
      <c r="C1782" s="1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  <c r="K1782" t="str">
        <f>TEXT(Table1[[#This Row],[PurchaseDate]],"mmm")</f>
        <v>Apr</v>
      </c>
      <c r="L1782">
        <f>YEAR(Table1[[#This Row],[PurchaseDate]])</f>
        <v>2023</v>
      </c>
      <c r="M1782" t="str">
        <f>IF(Table1[[#This Row],[TotalPrice]]&gt;2000,"High Sales","Low Sales")</f>
        <v>Low Sales</v>
      </c>
    </row>
    <row r="1783" spans="1:13" x14ac:dyDescent="0.3">
      <c r="A1783" t="s">
        <v>1636</v>
      </c>
      <c r="B1783" t="s">
        <v>1657</v>
      </c>
      <c r="C1783" s="1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  <c r="K1783" t="str">
        <f>TEXT(Table1[[#This Row],[PurchaseDate]],"mmm")</f>
        <v>Feb</v>
      </c>
      <c r="L1783">
        <f>YEAR(Table1[[#This Row],[PurchaseDate]])</f>
        <v>2025</v>
      </c>
      <c r="M1783" t="str">
        <f>IF(Table1[[#This Row],[TotalPrice]]&gt;2000,"High Sales","Low Sales")</f>
        <v>Low Sales</v>
      </c>
    </row>
    <row r="1784" spans="1:13" x14ac:dyDescent="0.3">
      <c r="A1784" t="s">
        <v>1637</v>
      </c>
      <c r="B1784" t="s">
        <v>1652</v>
      </c>
      <c r="C1784" s="1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  <c r="K1784" t="str">
        <f>TEXT(Table1[[#This Row],[PurchaseDate]],"mmm")</f>
        <v>Jun</v>
      </c>
      <c r="L1784">
        <f>YEAR(Table1[[#This Row],[PurchaseDate]])</f>
        <v>2024</v>
      </c>
      <c r="M1784" t="str">
        <f>IF(Table1[[#This Row],[TotalPrice]]&gt;2000,"High Sales","Low Sales")</f>
        <v>Low Sales</v>
      </c>
    </row>
    <row r="1785" spans="1:13" x14ac:dyDescent="0.3">
      <c r="A1785" t="s">
        <v>1638</v>
      </c>
      <c r="B1785" t="s">
        <v>1652</v>
      </c>
      <c r="C1785" s="1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  <c r="K1785" t="str">
        <f>TEXT(Table1[[#This Row],[PurchaseDate]],"mmm")</f>
        <v>Oct</v>
      </c>
      <c r="L1785">
        <f>YEAR(Table1[[#This Row],[PurchaseDate]])</f>
        <v>2024</v>
      </c>
      <c r="M1785" t="str">
        <f>IF(Table1[[#This Row],[TotalPrice]]&gt;2000,"High Sales","Low Sales")</f>
        <v>High Sales</v>
      </c>
    </row>
    <row r="1786" spans="1:13" x14ac:dyDescent="0.3">
      <c r="A1786" t="s">
        <v>1639</v>
      </c>
      <c r="B1786" t="s">
        <v>1656</v>
      </c>
      <c r="C1786" s="1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  <c r="K1786" t="str">
        <f>TEXT(Table1[[#This Row],[PurchaseDate]],"mmm")</f>
        <v>Apr</v>
      </c>
      <c r="L1786">
        <f>YEAR(Table1[[#This Row],[PurchaseDate]])</f>
        <v>2024</v>
      </c>
      <c r="M1786" t="str">
        <f>IF(Table1[[#This Row],[TotalPrice]]&gt;2000,"High Sales","Low Sales")</f>
        <v>High Sales</v>
      </c>
    </row>
    <row r="1787" spans="1:13" x14ac:dyDescent="0.3">
      <c r="A1787" t="s">
        <v>1640</v>
      </c>
      <c r="B1787" t="s">
        <v>1658</v>
      </c>
      <c r="C1787" s="1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  <c r="K1787" t="str">
        <f>TEXT(Table1[[#This Row],[PurchaseDate]],"mmm")</f>
        <v>Oct</v>
      </c>
      <c r="L1787">
        <f>YEAR(Table1[[#This Row],[PurchaseDate]])</f>
        <v>2024</v>
      </c>
      <c r="M1787" t="str">
        <f>IF(Table1[[#This Row],[TotalPrice]]&gt;2000,"High Sales","Low Sales")</f>
        <v>High Sales</v>
      </c>
    </row>
    <row r="1788" spans="1:13" x14ac:dyDescent="0.3">
      <c r="A1788" t="s">
        <v>1641</v>
      </c>
      <c r="B1788" t="s">
        <v>1654</v>
      </c>
      <c r="C1788" s="1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  <c r="K1788" t="str">
        <f>TEXT(Table1[[#This Row],[PurchaseDate]],"mmm")</f>
        <v>Dec</v>
      </c>
      <c r="L1788">
        <f>YEAR(Table1[[#This Row],[PurchaseDate]])</f>
        <v>2023</v>
      </c>
      <c r="M1788" t="str">
        <f>IF(Table1[[#This Row],[TotalPrice]]&gt;2000,"High Sales","Low Sales")</f>
        <v>Low Sales</v>
      </c>
    </row>
    <row r="1789" spans="1:13" x14ac:dyDescent="0.3">
      <c r="A1789" t="s">
        <v>1642</v>
      </c>
      <c r="B1789" t="s">
        <v>1658</v>
      </c>
      <c r="C1789" s="1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  <c r="K1789" t="str">
        <f>TEXT(Table1[[#This Row],[PurchaseDate]],"mmm")</f>
        <v>Nov</v>
      </c>
      <c r="L1789">
        <f>YEAR(Table1[[#This Row],[PurchaseDate]])</f>
        <v>2023</v>
      </c>
      <c r="M1789" t="str">
        <f>IF(Table1[[#This Row],[TotalPrice]]&gt;2000,"High Sales","Low Sales")</f>
        <v>Low Sales</v>
      </c>
    </row>
    <row r="1790" spans="1:13" x14ac:dyDescent="0.3">
      <c r="A1790" t="s">
        <v>1368</v>
      </c>
      <c r="B1790" t="s">
        <v>1657</v>
      </c>
      <c r="C1790" s="1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  <c r="K1790" t="str">
        <f>TEXT(Table1[[#This Row],[PurchaseDate]],"mmm")</f>
        <v>Sep</v>
      </c>
      <c r="L1790">
        <f>YEAR(Table1[[#This Row],[PurchaseDate]])</f>
        <v>2024</v>
      </c>
      <c r="M1790" t="str">
        <f>IF(Table1[[#This Row],[TotalPrice]]&gt;2000,"High Sales","Low Sales")</f>
        <v>Low Sales</v>
      </c>
    </row>
    <row r="1791" spans="1:13" x14ac:dyDescent="0.3">
      <c r="A1791" t="s">
        <v>1643</v>
      </c>
      <c r="B1791" t="s">
        <v>1658</v>
      </c>
      <c r="C1791" s="1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  <c r="K1791" t="str">
        <f>TEXT(Table1[[#This Row],[PurchaseDate]],"mmm")</f>
        <v>Jan</v>
      </c>
      <c r="L1791">
        <f>YEAR(Table1[[#This Row],[PurchaseDate]])</f>
        <v>2025</v>
      </c>
      <c r="M1791" t="str">
        <f>IF(Table1[[#This Row],[TotalPrice]]&gt;2000,"High Sales","Low Sales")</f>
        <v>High Sales</v>
      </c>
    </row>
    <row r="1792" spans="1:13" x14ac:dyDescent="0.3">
      <c r="A1792" t="s">
        <v>1644</v>
      </c>
      <c r="B1792" t="s">
        <v>1657</v>
      </c>
      <c r="C1792" s="1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  <c r="K1792" t="str">
        <f>TEXT(Table1[[#This Row],[PurchaseDate]],"mmm")</f>
        <v>Jun</v>
      </c>
      <c r="L1792">
        <f>YEAR(Table1[[#This Row],[PurchaseDate]])</f>
        <v>2024</v>
      </c>
      <c r="M1792" t="str">
        <f>IF(Table1[[#This Row],[TotalPrice]]&gt;2000,"High Sales","Low Sales")</f>
        <v>High Sales</v>
      </c>
    </row>
    <row r="1793" spans="1:13" x14ac:dyDescent="0.3">
      <c r="A1793" t="s">
        <v>1645</v>
      </c>
      <c r="B1793" t="s">
        <v>1653</v>
      </c>
      <c r="C1793" s="1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  <c r="K1793" t="str">
        <f>TEXT(Table1[[#This Row],[PurchaseDate]],"mmm")</f>
        <v>Jun</v>
      </c>
      <c r="L1793">
        <f>YEAR(Table1[[#This Row],[PurchaseDate]])</f>
        <v>2024</v>
      </c>
      <c r="M1793" t="str">
        <f>IF(Table1[[#This Row],[TotalPrice]]&gt;2000,"High Sales","Low Sales")</f>
        <v>High Sales</v>
      </c>
    </row>
    <row r="1794" spans="1:13" x14ac:dyDescent="0.3">
      <c r="A1794" t="s">
        <v>1646</v>
      </c>
      <c r="B1794" t="s">
        <v>1656</v>
      </c>
      <c r="C1794" s="1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  <c r="K1794" t="str">
        <f>TEXT(Table1[[#This Row],[PurchaseDate]],"mmm")</f>
        <v>May</v>
      </c>
      <c r="L1794">
        <f>YEAR(Table1[[#This Row],[PurchaseDate]])</f>
        <v>2025</v>
      </c>
      <c r="M1794" t="str">
        <f>IF(Table1[[#This Row],[TotalPrice]]&gt;2000,"High Sales","Low Sales")</f>
        <v>High Sales</v>
      </c>
    </row>
    <row r="1795" spans="1:13" x14ac:dyDescent="0.3">
      <c r="A1795" t="s">
        <v>1647</v>
      </c>
      <c r="B1795" t="s">
        <v>1658</v>
      </c>
      <c r="C1795" s="1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  <c r="K1795" t="str">
        <f>TEXT(Table1[[#This Row],[PurchaseDate]],"mmm")</f>
        <v>Sep</v>
      </c>
      <c r="L1795">
        <f>YEAR(Table1[[#This Row],[PurchaseDate]])</f>
        <v>2024</v>
      </c>
      <c r="M1795" t="str">
        <f>IF(Table1[[#This Row],[TotalPrice]]&gt;2000,"High Sales","Low Sales")</f>
        <v>Low Sales</v>
      </c>
    </row>
    <row r="1796" spans="1:13" x14ac:dyDescent="0.3">
      <c r="A1796" t="s">
        <v>1648</v>
      </c>
      <c r="B1796" t="s">
        <v>1652</v>
      </c>
      <c r="C1796" s="1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  <c r="K1796" t="str">
        <f>TEXT(Table1[[#This Row],[PurchaseDate]],"mmm")</f>
        <v>Aug</v>
      </c>
      <c r="L1796">
        <f>YEAR(Table1[[#This Row],[PurchaseDate]])</f>
        <v>2024</v>
      </c>
      <c r="M1796" t="str">
        <f>IF(Table1[[#This Row],[TotalPrice]]&gt;2000,"High Sales","Low Sales")</f>
        <v>Low Sales</v>
      </c>
    </row>
    <row r="1797" spans="1:13" x14ac:dyDescent="0.3">
      <c r="A1797" t="s">
        <v>1649</v>
      </c>
      <c r="B1797" t="s">
        <v>1654</v>
      </c>
      <c r="C1797" s="1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  <c r="K1797" t="str">
        <f>TEXT(Table1[[#This Row],[PurchaseDate]],"mmm")</f>
        <v>May</v>
      </c>
      <c r="L1797">
        <f>YEAR(Table1[[#This Row],[PurchaseDate]])</f>
        <v>2023</v>
      </c>
      <c r="M1797" t="str">
        <f>IF(Table1[[#This Row],[TotalPrice]]&gt;2000,"High Sales","Low Sales")</f>
        <v>Low Sales</v>
      </c>
    </row>
    <row r="1798" spans="1:13" x14ac:dyDescent="0.3">
      <c r="A1798" t="s">
        <v>1650</v>
      </c>
      <c r="B1798" t="s">
        <v>1656</v>
      </c>
      <c r="C1798" s="1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  <c r="K1798" t="str">
        <f>TEXT(Table1[[#This Row],[PurchaseDate]],"mmm")</f>
        <v>Feb</v>
      </c>
      <c r="L1798">
        <f>YEAR(Table1[[#This Row],[PurchaseDate]])</f>
        <v>2023</v>
      </c>
      <c r="M1798" t="str">
        <f>IF(Table1[[#This Row],[TotalPrice]]&gt;2000,"High Sales","Low Sales")</f>
        <v>Low Sales</v>
      </c>
    </row>
    <row r="1799" spans="1:13" x14ac:dyDescent="0.3">
      <c r="A1799" t="s">
        <v>1651</v>
      </c>
      <c r="B1799" t="s">
        <v>1652</v>
      </c>
      <c r="C1799" s="1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  <c r="K1799" t="str">
        <f>TEXT(Table1[[#This Row],[PurchaseDate]],"mmm")</f>
        <v>Aug</v>
      </c>
      <c r="L1799">
        <f>YEAR(Table1[[#This Row],[PurchaseDate]])</f>
        <v>2024</v>
      </c>
      <c r="M1799" t="str">
        <f>IF(Table1[[#This Row],[TotalPrice]]&gt;2000,"High Sales","Low Sales")</f>
        <v>Low Sales</v>
      </c>
    </row>
    <row r="1800" spans="1:13" x14ac:dyDescent="0.3">
      <c r="A1800" t="s">
        <v>962</v>
      </c>
      <c r="B1800" t="s">
        <v>1655</v>
      </c>
      <c r="C1800" s="1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  <c r="K1800" t="str">
        <f>TEXT(Table1[[#This Row],[PurchaseDate]],"mmm")</f>
        <v>Feb</v>
      </c>
      <c r="L1800">
        <f>YEAR(Table1[[#This Row],[PurchaseDate]])</f>
        <v>2024</v>
      </c>
      <c r="M1800" t="str">
        <f>IF(Table1[[#This Row],[TotalPrice]]&gt;2000,"High Sales","Low Sales")</f>
        <v>Low Sales</v>
      </c>
    </row>
    <row r="1801" spans="1:13" x14ac:dyDescent="0.3">
      <c r="A1801" t="s">
        <v>814</v>
      </c>
      <c r="B1801" t="s">
        <v>1655</v>
      </c>
      <c r="C1801" s="1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  <c r="K1801" t="str">
        <f>TEXT(Table1[[#This Row],[PurchaseDate]],"mmm")</f>
        <v>May</v>
      </c>
      <c r="L1801">
        <f>YEAR(Table1[[#This Row],[PurchaseDate]])</f>
        <v>2025</v>
      </c>
      <c r="M1801" t="str">
        <f>IF(Table1[[#This Row],[TotalPrice]]&gt;2000,"High Sales","Low Sales")</f>
        <v>High Sales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Biswas</dc:creator>
  <cp:lastModifiedBy>Anuja Biswas</cp:lastModifiedBy>
  <dcterms:created xsi:type="dcterms:W3CDTF">2025-06-21T13:19:13Z</dcterms:created>
  <dcterms:modified xsi:type="dcterms:W3CDTF">2026-05-25T06:13:45Z</dcterms:modified>
</cp:coreProperties>
</file>